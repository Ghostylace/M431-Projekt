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00000000-0000-0000-0000-000000000000}"/>
  <workbookPr codeName="ThisWorkbook"/>
  <mc:AlternateContent xmlns:mc="http://schemas.openxmlformats.org/markup-compatibility/2006">
    <mc:Choice Requires="x15">
      <x15ac:absPath xmlns:x15ac="http://schemas.microsoft.com/office/spreadsheetml/2010/11/ac" url="C:\Users\gallon\Downloads\"/>
    </mc:Choice>
  </mc:AlternateContent>
  <xr:revisionPtr revIDLastSave="0" documentId="13_ncr:1_{5F276C17-9477-4611-A11B-F140BF91B714}" xr6:coauthVersionLast="47" xr6:coauthVersionMax="47" xr10:uidLastSave="{00000000-0000-0000-0000-000000000000}"/>
  <bookViews>
    <workbookView xWindow="-110" yWindow="-110" windowWidth="19420" windowHeight="11500" activeTab="2" xr2:uid="{00000000-000D-0000-FFFF-FFFF00000000}"/>
  </bookViews>
  <sheets>
    <sheet name="Deckblatt" sheetId="16" r:id="rId1"/>
    <sheet name="Hinweise" sheetId="15" r:id="rId2"/>
    <sheet name="Risikoliste" sheetId="21" r:id="rId3"/>
    <sheet name="Risikomatrix VOR Maßnahme" sheetId="22" r:id="rId4"/>
    <sheet name="Risikomatrix NACH Maßnahme" sheetId="23" r:id="rId5"/>
    <sheet name="(Stammdaten)" sheetId="12" r:id="rId6"/>
  </sheets>
  <externalReferences>
    <externalReference r:id="rId7"/>
    <externalReference r:id="rId8"/>
  </externalReferences>
  <definedNames>
    <definedName name="_xlnm._FilterDatabase" localSheetId="2" hidden="1">Risikoliste!$A$3:$AH$3</definedName>
    <definedName name="Abnahmestatus" localSheetId="0">'[1](Stammdaten)'!$E$9:$E$12</definedName>
    <definedName name="Abnahmestatus">'(Stammdaten)'!$F$10:$F$13</definedName>
    <definedName name="Auswirkung">'(Stammdaten)'!$D$10:$D$14</definedName>
    <definedName name="_xlnm.Print_Area" localSheetId="5">'(Stammdaten)'!$B$1:$H$15</definedName>
    <definedName name="_xlnm.Print_Area" localSheetId="0">Deckblatt!$A$1:$C$13</definedName>
    <definedName name="janein" localSheetId="0">'[1](Stammdaten)'!$D$9:$D$10</definedName>
    <definedName name="janein">'(Stammdaten)'!$E$10:$E$11</definedName>
    <definedName name="Nummer" localSheetId="0">#REF!</definedName>
    <definedName name="Nummer" localSheetId="2">#REF!</definedName>
    <definedName name="Nummer" localSheetId="4">#REF!</definedName>
    <definedName name="Nummer" localSheetId="3">#REF!</definedName>
    <definedName name="Nummer">#REF!</definedName>
    <definedName name="Referenz" localSheetId="0">#REF!</definedName>
    <definedName name="Referenz" localSheetId="2">#REF!</definedName>
    <definedName name="Referenz" localSheetId="4">#REF!</definedName>
    <definedName name="Referenz" localSheetId="3">#REF!</definedName>
    <definedName name="Referenz">#REF!</definedName>
    <definedName name="Risikostatus">'(Stammdaten)'!$G$10:$G$13</definedName>
    <definedName name="Schadenshöhe" localSheetId="2">'[2]1-Risikoprofil_Deckblatt'!#REF!</definedName>
    <definedName name="Schadenshöhe" localSheetId="4">'[2]1-Risikoprofil_Deckblatt'!#REF!</definedName>
    <definedName name="Schadenshöhe" localSheetId="3">'[2]1-Risikoprofil_Deckblatt'!#REF!</definedName>
    <definedName name="Schadenshöhe">'[2]1-Risikoprofil_Deckblatt'!#REF!</definedName>
    <definedName name="Status">'(Stammdaten)'!$E$10:$E$13</definedName>
    <definedName name="Teilprojekt" localSheetId="0">'[1](Stammdaten)'!$C$9:$C$12</definedName>
    <definedName name="Teilprojekt">'(Stammdaten)'!$D$10:$D$13</definedName>
    <definedName name="Thema">'(Stammdaten)'!$F$10:$F$15</definedName>
    <definedName name="Verpflichtung" localSheetId="0">'[1](Stammdaten)'!$F$9:$F$10</definedName>
    <definedName name="Verpflichtung">'(Stammdaten)'!$G$10:$G$11</definedName>
    <definedName name="Vertragsstatus" localSheetId="0">'[1](Stammdaten)'!$B$9:$B$11</definedName>
    <definedName name="Vertragsstatus">'(Stammdaten)'!$C$10:$C$12</definedName>
    <definedName name="VReferenz" localSheetId="0">#REF!</definedName>
    <definedName name="VReferenz" localSheetId="2">#REF!</definedName>
    <definedName name="VReferenz" localSheetId="4">#REF!</definedName>
    <definedName name="VReferenz" localSheetId="3">#REF!</definedName>
    <definedName name="VReferenz">#REF!</definedName>
    <definedName name="Wahrscheinlichkeit">'(Stammdaten)'!$C$10:$C$14</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4" i="21" l="1"/>
  <c r="AF14" i="21"/>
  <c r="AE14" i="21"/>
  <c r="O14" i="21"/>
  <c r="M14" i="21"/>
  <c r="AG13" i="21"/>
  <c r="AF13" i="21"/>
  <c r="AE13" i="21"/>
  <c r="O13" i="21"/>
  <c r="M13" i="21"/>
  <c r="AG12" i="21"/>
  <c r="AF12" i="21"/>
  <c r="AE12" i="21"/>
  <c r="O12" i="21"/>
  <c r="M12" i="21"/>
  <c r="AG11" i="21"/>
  <c r="AF11" i="21"/>
  <c r="AE11" i="21"/>
  <c r="O11" i="21"/>
  <c r="AG10" i="21"/>
  <c r="AF10" i="21"/>
  <c r="AE10" i="21"/>
  <c r="O10" i="21"/>
  <c r="AE5" i="21"/>
  <c r="AE6" i="21"/>
  <c r="AE7" i="21"/>
  <c r="AE8" i="21"/>
  <c r="AE9" i="21"/>
  <c r="AG9" i="21"/>
  <c r="AF9" i="21"/>
  <c r="AG8" i="21"/>
  <c r="AF8" i="21"/>
  <c r="AG7" i="21"/>
  <c r="AF7" i="21"/>
  <c r="AG6" i="21"/>
  <c r="AF6" i="21"/>
  <c r="AG5" i="21"/>
  <c r="AF5" i="21"/>
  <c r="AG4" i="21"/>
  <c r="AF4" i="21"/>
  <c r="AE4" i="21"/>
  <c r="E4" i="23"/>
  <c r="G2" i="23"/>
  <c r="G4" i="23"/>
  <c r="F3" i="23"/>
  <c r="F6" i="23"/>
  <c r="C6" i="23"/>
  <c r="E5" i="23"/>
  <c r="C5" i="23"/>
  <c r="C4" i="23"/>
  <c r="G5" i="23"/>
  <c r="F4" i="23"/>
  <c r="D3" i="23"/>
  <c r="C2" i="23"/>
  <c r="G6" i="23"/>
  <c r="F2" i="23"/>
  <c r="G3" i="23"/>
  <c r="E2" i="23"/>
  <c r="D6" i="23"/>
  <c r="E6" i="23"/>
  <c r="D5" i="23"/>
  <c r="D4" i="23"/>
  <c r="C3" i="23"/>
  <c r="F5" i="23"/>
  <c r="E3" i="23"/>
  <c r="D2" i="23"/>
  <c r="O6" i="21"/>
  <c r="O7" i="21"/>
  <c r="O8" i="21"/>
  <c r="O9" i="21"/>
  <c r="O4" i="21"/>
  <c r="O5" i="21"/>
  <c r="D6" i="22"/>
  <c r="I5" i="23"/>
  <c r="D2" i="22"/>
  <c r="D4" i="22"/>
  <c r="D3" i="22"/>
  <c r="G4" i="22"/>
  <c r="D5" i="22"/>
  <c r="C2" i="22"/>
  <c r="G6" i="22"/>
  <c r="F6" i="22"/>
  <c r="F5" i="22"/>
  <c r="F4" i="22"/>
  <c r="F3" i="22"/>
  <c r="F2" i="22"/>
  <c r="G2" i="22"/>
  <c r="G5" i="22"/>
  <c r="G3" i="22"/>
  <c r="E6" i="22"/>
  <c r="C6" i="22"/>
  <c r="E5" i="22"/>
  <c r="C5" i="22"/>
  <c r="E4" i="22"/>
  <c r="C4" i="22"/>
  <c r="E3" i="22"/>
  <c r="C3" i="22"/>
  <c r="E2" i="22"/>
  <c r="I6" i="23"/>
  <c r="I4" i="23"/>
  <c r="I6" i="22"/>
  <c r="I5" i="22"/>
  <c r="I4" i="22"/>
</calcChain>
</file>

<file path=xl/sharedStrings.xml><?xml version="1.0" encoding="utf-8"?>
<sst xmlns="http://schemas.openxmlformats.org/spreadsheetml/2006/main" count="413" uniqueCount="204">
  <si>
    <t>Risikomatrix</t>
  </si>
  <si>
    <t>Version 3.1</t>
  </si>
  <si>
    <t>2024</t>
  </si>
  <si>
    <t>Allgemeine Hinweise</t>
  </si>
  <si>
    <t>==&gt;</t>
  </si>
  <si>
    <r>
      <rPr>
        <b/>
        <sz val="11"/>
        <rFont val="Calibri"/>
        <family val="2"/>
        <scheme val="minor"/>
      </rPr>
      <t xml:space="preserve">Tabellenblättern "Risikoliste" und "Risikomatrix" : </t>
    </r>
    <r>
      <rPr>
        <sz val="11"/>
        <rFont val="Calibri"/>
        <family val="2"/>
        <scheme val="minor"/>
      </rPr>
      <t xml:space="preserve"> Zellen, die Formeln enthalten, sind gesperrt. Bei Bedarf (z.B. um neue Zeilen/Spalten einzufügen) kann die Sperrung wie folgt aufgehoben werden: in der Arbeitsblatt-Leiste unten Rechtsklick auf den entsprechenden Reiter (Risikoliste / Risikomatrix)  --&gt; Klick auf "Blattschutz aufheben".  Es wird empfohlen, den Blattschutz nach Durchführung der gewünschten Änderungen wieder zu aktivieren: in der Arbeitsblatt-Leiste unten Rechtsklick auf den entsprechenden Reiter (Risikoliste / Risikomatrix)  --&gt; Klick auf "Blatt schützen".</t>
    </r>
  </si>
  <si>
    <r>
      <rPr>
        <b/>
        <sz val="11"/>
        <rFont val="Calibri"/>
        <family val="2"/>
        <scheme val="minor"/>
      </rPr>
      <t xml:space="preserve">Tabellenblatt "Risikoliste": </t>
    </r>
    <r>
      <rPr>
        <sz val="11"/>
        <rFont val="Calibri"/>
        <family val="2"/>
        <scheme val="minor"/>
      </rPr>
      <t>Zur besseren Handhabbarkeit sind die obersten und vordersten Zeilen im Tabellenblatt "Risikoliste" eingefroren und bleiben beim runter- Herunter- oder nach rechts Scrollen sichtbar. Diese Einstellung kann wie folgt aufgehoben werden: in der Arbeitsblatt-Leiste unten auf das entsprechende Arbeitsblatt gehen --&gt; in der Menüleiste oben den Reiter "Ansicht" auswählen --&gt; im Unterabschnitt "Fenster" die Option "Fenster einfrieren" anklicken und auf "Fixierung aufheben" klicken.</t>
    </r>
  </si>
  <si>
    <r>
      <rPr>
        <b/>
        <sz val="11"/>
        <rFont val="Calibri"/>
        <family val="2"/>
        <scheme val="minor"/>
      </rPr>
      <t>Tabellenblatt "Stammdaten":</t>
    </r>
    <r>
      <rPr>
        <sz val="11"/>
        <rFont val="Calibri"/>
        <family val="2"/>
        <scheme val="minor"/>
      </rPr>
      <t xml:space="preserve"> Bei der Ersterstellung  werden die Inhalte der Stammdaten an die eigenen Bedürfnisse angepasst.</t>
    </r>
  </si>
  <si>
    <t>Schritte zur regelmäßigen Dokumentenpflege</t>
  </si>
  <si>
    <t xml:space="preserve">Wenn ein neues Risiko identifiziert wird, muss dieses in die Risikoliste aufgenommen werden. </t>
  </si>
  <si>
    <t>In regelmäßigen Abständen bzw. vor jeder größeren Bearbeitung des Dokuments (z.B. bei einem Audit) sollte eine neue Dateiversion angelegt werden, um die Entwicklung der Risiken im Zeitverlauf nachvollziehen zu können.</t>
  </si>
  <si>
    <t>In Verbindung stehende Dokumente</t>
  </si>
  <si>
    <r>
      <rPr>
        <b/>
        <sz val="11"/>
        <rFont val="Calibri"/>
        <family val="2"/>
        <scheme val="minor"/>
      </rPr>
      <t>Input:</t>
    </r>
    <r>
      <rPr>
        <sz val="11"/>
        <rFont val="Calibri"/>
        <family val="2"/>
        <scheme val="minor"/>
      </rPr>
      <t xml:space="preserve"> keine</t>
    </r>
  </si>
  <si>
    <r>
      <rPr>
        <b/>
        <sz val="11"/>
        <rFont val="Calibri"/>
        <family val="2"/>
        <scheme val="minor"/>
      </rPr>
      <t>Output:</t>
    </r>
    <r>
      <rPr>
        <sz val="11"/>
        <rFont val="Calibri"/>
        <family val="2"/>
        <scheme val="minor"/>
      </rPr>
      <t xml:space="preserve"> LA-Vorlage, diverse Statusberichte</t>
    </r>
  </si>
  <si>
    <t>Nutzungsanweisung</t>
  </si>
  <si>
    <t xml:space="preserve">Das Dokument besteht aus drei Teilen: Risikoliste sowie Risikomatrix VOR und NACH Umsetzung der Gegenmaßnahme. </t>
  </si>
  <si>
    <t>Die Risikoliste enthält Detailinformationen zu allen identifizierten Risiken, notwendige Gegenmaßnahmen sowie die Analyse vor und nach der jeweiligen Gegenmaßnahme.</t>
  </si>
  <si>
    <t>Die Risikomatrizen VOR und NACH Umsetzung der Gegenmaßnahme bieten einen Gesamtüberblick über alle Risiken im Projekt mit Bezug auf ihre Eintritsswahrscheinlichkeit und ihre Auswirkungen.</t>
  </si>
  <si>
    <t>Nur die Risikoliste muss manuell befüllt werden. Wenn die Risikoliste für ein Risiko vollständig ausgefüllt wurde, dann taucht das Risiko automatisch in der entsprechenden Risikomatrix (VOR oder NACH Umsetzung der Gegenmaßnahme) auf. Die Risikomatrizen enthalten nur Risiken, denen in der Risikoliste der Status "aktiv" zugeordnet wurde.</t>
  </si>
  <si>
    <t>Feldbeschreibung Tabellenblatt "Risikoliste"</t>
  </si>
  <si>
    <t>Sp.</t>
  </si>
  <si>
    <t>Name</t>
  </si>
  <si>
    <t>Datentyp</t>
  </si>
  <si>
    <t>Herkunft</t>
  </si>
  <si>
    <t>Beschreibung</t>
  </si>
  <si>
    <t>A</t>
  </si>
  <si>
    <t>Nr.</t>
  </si>
  <si>
    <t>Zahl</t>
  </si>
  <si>
    <t>manuell</t>
  </si>
  <si>
    <t>Laufende Risikonummer</t>
  </si>
  <si>
    <t>B</t>
  </si>
  <si>
    <t>Thema/Kategorie</t>
  </si>
  <si>
    <t>Text</t>
  </si>
  <si>
    <t>Listenauswahl</t>
  </si>
  <si>
    <t>Kategorisierung/Thema des Risikos</t>
  </si>
  <si>
    <t>C</t>
  </si>
  <si>
    <t>Kurzbezeichnung</t>
  </si>
  <si>
    <t>Kurze Bezeichnung / ID des Risikos</t>
  </si>
  <si>
    <t>D</t>
  </si>
  <si>
    <t>Risikobeschreibung</t>
  </si>
  <si>
    <t>Beschreibung des Risikos. Diese sollte möglichst prägnant sein, aber detailliert genug, um das Risiko zu verstehen.</t>
  </si>
  <si>
    <t>E/F</t>
  </si>
  <si>
    <t>Erfasst am bzw. Erfasser/-in</t>
  </si>
  <si>
    <t>Datum/Text</t>
  </si>
  <si>
    <t>Wann und von wem wurde das Risiko erfasst?</t>
  </si>
  <si>
    <t>G</t>
  </si>
  <si>
    <t>Betrifft</t>
  </si>
  <si>
    <t>Auflistung aller Projektrollen bzw. Projektbereiche, die entweder vom Risikoeintritt betroffen sind oder an Gegenmaßnahmen mitwirken müssen.</t>
  </si>
  <si>
    <r>
      <t>Analyse</t>
    </r>
    <r>
      <rPr>
        <b/>
        <sz val="11"/>
        <rFont val="Calibri"/>
        <family val="2"/>
        <scheme val="minor"/>
      </rPr>
      <t xml:space="preserve"> VOR </t>
    </r>
    <r>
      <rPr>
        <sz val="11"/>
        <rFont val="Calibri"/>
        <family val="2"/>
        <scheme val="minor"/>
      </rPr>
      <t>Gegenmaßnahme</t>
    </r>
  </si>
  <si>
    <t>H</t>
  </si>
  <si>
    <t>Risikostatus</t>
  </si>
  <si>
    <r>
      <t xml:space="preserve">Der Risikostatus beschreibt den Status des Risikos insgesamt:
</t>
    </r>
    <r>
      <rPr>
        <b/>
        <sz val="11"/>
        <rFont val="Calibri"/>
        <family val="2"/>
        <scheme val="minor"/>
      </rPr>
      <t>AKTIV</t>
    </r>
    <r>
      <rPr>
        <sz val="11"/>
        <rFont val="Calibri"/>
        <family val="2"/>
        <scheme val="minor"/>
      </rPr>
      <t xml:space="preserve"> = Das Risiko stellt eine aktive Bedrohung für das Projekt dar.
</t>
    </r>
    <r>
      <rPr>
        <b/>
        <sz val="11"/>
        <rFont val="Calibri"/>
        <family val="2"/>
        <scheme val="minor"/>
      </rPr>
      <t>VERWORFEN</t>
    </r>
    <r>
      <rPr>
        <sz val="11"/>
        <rFont val="Calibri"/>
        <family val="2"/>
        <scheme val="minor"/>
      </rPr>
      <t xml:space="preserve"> = Das Risiko wurde als irrelevant verworfen und wird auch in Zukunft keine Rolle mehr spielen.
</t>
    </r>
    <r>
      <rPr>
        <b/>
        <sz val="11"/>
        <rFont val="Calibri"/>
        <family val="2"/>
        <scheme val="minor"/>
      </rPr>
      <t>ZURÜCKGESTELLT</t>
    </r>
    <r>
      <rPr>
        <sz val="11"/>
        <rFont val="Calibri"/>
        <family val="2"/>
        <scheme val="minor"/>
      </rPr>
      <t xml:space="preserve"> = Das Risiko ist momentan inaktiv, kann aber in Zukunft unter bestimmten Rahmenbedingungen noch einmal aktiv werden (dieser Statustyp ist eher selten zu verwenden; Risiken sollten bevorzugt mit einer geringen Eintrittswahrscheinlichkeit eingestuft werden, um sie nicht komplett aus dem Fokus zu verlieren).
</t>
    </r>
    <r>
      <rPr>
        <b/>
        <sz val="11"/>
        <rFont val="Calibri"/>
        <family val="2"/>
        <scheme val="minor"/>
      </rPr>
      <t>BESEITIGT</t>
    </r>
    <r>
      <rPr>
        <sz val="11"/>
        <rFont val="Calibri"/>
        <family val="2"/>
        <scheme val="minor"/>
      </rPr>
      <t xml:space="preserve"> = Das Risiko wurde mittels effektiver Gegenmaßnahmen zu 100% beseitigt bzw. das mögliche Ereignis, zu dem das Risiko eintreten könnte, ist bereits eingetreten.</t>
    </r>
  </si>
  <si>
    <t>I</t>
  </si>
  <si>
    <t>Voraussichtlicher Eintrittszeitpunkt</t>
  </si>
  <si>
    <t>Datum</t>
  </si>
  <si>
    <t>Zu welchem Termin tritt das Risko aller Wahrscheinlichkeit nach ein?</t>
  </si>
  <si>
    <t>J</t>
  </si>
  <si>
    <t>Eintrittswahrscheinlichkeit</t>
  </si>
  <si>
    <r>
      <t xml:space="preserve">Die Eintrittswahrscheinlichkeit des Risikos:
</t>
    </r>
    <r>
      <rPr>
        <b/>
        <sz val="11"/>
        <rFont val="Calibri"/>
        <family val="2"/>
        <scheme val="minor"/>
      </rPr>
      <t>10%</t>
    </r>
    <r>
      <rPr>
        <sz val="11"/>
        <rFont val="Calibri"/>
        <family val="2"/>
        <scheme val="minor"/>
      </rPr>
      <t xml:space="preserve"> = Sehr unwahrscheinlich (1%–20%)
</t>
    </r>
    <r>
      <rPr>
        <b/>
        <sz val="11"/>
        <rFont val="Calibri"/>
        <family val="2"/>
        <scheme val="minor"/>
      </rPr>
      <t xml:space="preserve">30% </t>
    </r>
    <r>
      <rPr>
        <sz val="11"/>
        <rFont val="Calibri"/>
        <family val="2"/>
        <scheme val="minor"/>
      </rPr>
      <t xml:space="preserve">= Unwahrscheinlich (21%–40%)
</t>
    </r>
    <r>
      <rPr>
        <b/>
        <sz val="11"/>
        <rFont val="Calibri"/>
        <family val="2"/>
        <scheme val="minor"/>
      </rPr>
      <t>50%</t>
    </r>
    <r>
      <rPr>
        <sz val="11"/>
        <rFont val="Calibri"/>
        <family val="2"/>
        <scheme val="minor"/>
      </rPr>
      <t xml:space="preserve"> = Wahrscheinlich (41%–60%)
</t>
    </r>
    <r>
      <rPr>
        <b/>
        <sz val="11"/>
        <rFont val="Calibri"/>
        <family val="2"/>
        <scheme val="minor"/>
      </rPr>
      <t>70%</t>
    </r>
    <r>
      <rPr>
        <sz val="11"/>
        <rFont val="Calibri"/>
        <family val="2"/>
        <scheme val="minor"/>
      </rPr>
      <t xml:space="preserve"> = Höchstwahrscheinlich (61%–80%)
</t>
    </r>
    <r>
      <rPr>
        <b/>
        <sz val="11"/>
        <rFont val="Calibri"/>
        <family val="2"/>
        <scheme val="minor"/>
      </rPr>
      <t>90%</t>
    </r>
    <r>
      <rPr>
        <sz val="11"/>
        <rFont val="Calibri"/>
        <family val="2"/>
        <scheme val="minor"/>
      </rPr>
      <t xml:space="preserve"> = Fast sicher (81%–99%).</t>
    </r>
  </si>
  <si>
    <t>K</t>
  </si>
  <si>
    <t>Auswirkung</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</si>
  <si>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</si>
  <si>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L</t>
  </si>
  <si>
    <t>Erwarteter finanzieller Schaden</t>
  </si>
  <si>
    <t>Geldwert EUR</t>
  </si>
  <si>
    <t xml:space="preserve">Wie hoch (in EUR) wird der voraussichtlich zu erwartenden finanzielle Schaden bei Eintritt des Risikos sein? </t>
  </si>
  <si>
    <t>M</t>
  </si>
  <si>
    <t>Erwartungswert</t>
  </si>
  <si>
    <t>automatisch</t>
  </si>
  <si>
    <t>Der anhand der zuvor geschätzten Eintritswahrscheinlichkeit einzuberechnende finanzielle Schaden. Die hinterlegte Formel berechnet anhand der Eintrittswahrscheinlichkeit (Feld "J") den prozentualen Anteil des finanzellen Schadens.</t>
  </si>
  <si>
    <t>N</t>
  </si>
  <si>
    <t>Risikoklasse</t>
  </si>
  <si>
    <t>Buchstabe</t>
  </si>
  <si>
    <t>Die aus der Kombination von Eintrittswahrscheinlichkeit und Auswirkung gewonnene Risikoklasse:
A = Reagieren notwendig
B = Beobachten, Frühwarnsystem 
C = Lediglich wahrnehmen.</t>
  </si>
  <si>
    <t>O</t>
  </si>
  <si>
    <t>Risikofeld</t>
  </si>
  <si>
    <r>
      <rPr>
        <b/>
        <i/>
        <sz val="11"/>
        <rFont val="Calibri"/>
        <family val="2"/>
        <scheme val="minor"/>
      </rPr>
      <t>Verstecktes Feld</t>
    </r>
    <r>
      <rPr>
        <sz val="11"/>
        <rFont val="Calibri"/>
        <family val="2"/>
        <scheme val="minor"/>
      </rPr>
      <t>. Feld der Risikomatrix, in welches das Risiko eingeordnet wird.</t>
    </r>
  </si>
  <si>
    <t>P</t>
  </si>
  <si>
    <t>Mögliche Schäden/Schadensausmaß</t>
  </si>
  <si>
    <t>Auflistung der Schäden, die der Risikoeintritt verursachen würde.</t>
  </si>
  <si>
    <t>Aktivitäten</t>
  </si>
  <si>
    <t>Q</t>
  </si>
  <si>
    <t>Gegenmaßnahme</t>
  </si>
  <si>
    <t>Welche Gegenmaßnahmen sind zu planen, um den Eintritt des Risikos zu vermeiden bzw. die Eintrittswahrscheinlichkeit zu reduzieren?</t>
  </si>
  <si>
    <t>R</t>
  </si>
  <si>
    <t>Verantwortliche/-r für das Risiko</t>
  </si>
  <si>
    <t>Wer übernimmt die Verantwortung für das Risiko?</t>
  </si>
  <si>
    <t>S</t>
  </si>
  <si>
    <t>Verantwortliche/-r für die Umsetzung</t>
  </si>
  <si>
    <t>Wer ist für die Umsetzung der Gegenmaßnahme verantwortlich?</t>
  </si>
  <si>
    <t>T</t>
  </si>
  <si>
    <t>Termin für die Umsetzung</t>
  </si>
  <si>
    <t>Zu welchem Datum sollte die Maßnahme umgesetzt werden?</t>
  </si>
  <si>
    <t>U</t>
  </si>
  <si>
    <t>Maßnahme abgeschlossen</t>
  </si>
  <si>
    <r>
      <t xml:space="preserve">Wurde die Maßnahme bereits abgeschlossen?
</t>
    </r>
    <r>
      <rPr>
        <b/>
        <sz val="11"/>
        <rFont val="Calibri"/>
        <family val="2"/>
        <scheme val="minor"/>
      </rPr>
      <t>Ja
Nein</t>
    </r>
  </si>
  <si>
    <t>V</t>
  </si>
  <si>
    <t>Maßnahme erfolgreich</t>
  </si>
  <si>
    <r>
      <t xml:space="preserve">War die umgesetzte Maßnahme erfolgreich?
</t>
    </r>
    <r>
      <rPr>
        <b/>
        <sz val="11"/>
        <rFont val="Calibri"/>
        <family val="2"/>
        <scheme val="minor"/>
      </rPr>
      <t>Ja
Nein</t>
    </r>
  </si>
  <si>
    <t>W</t>
  </si>
  <si>
    <t>Risiko nach Maßnahme beseitigt</t>
  </si>
  <si>
    <r>
      <t xml:space="preserve">Wurde das Risiko mit der umgesetzten Maßnahme beseitigt?
</t>
    </r>
    <r>
      <rPr>
        <b/>
        <sz val="11"/>
        <rFont val="Calibri"/>
        <family val="2"/>
        <scheme val="minor"/>
      </rPr>
      <t>Ja
Nein</t>
    </r>
  </si>
  <si>
    <t>X</t>
  </si>
  <si>
    <t>Eskalition/ Eskalation erforderlich</t>
  </si>
  <si>
    <r>
      <t xml:space="preserve">Muss auf Grund der Schwere des Risikos eine höhere Leitungsebene beteiligt und um Entscheidung gebeten werden?
</t>
    </r>
    <r>
      <rPr>
        <b/>
        <sz val="11"/>
        <rFont val="Calibri"/>
        <family val="2"/>
        <scheme val="minor"/>
      </rPr>
      <t>Ja
Nein</t>
    </r>
  </si>
  <si>
    <t>Y</t>
  </si>
  <si>
    <t>Nächste Überprüfung</t>
  </si>
  <si>
    <t>Datum der nächsten Vorlage/Überprüfung des Risikos</t>
  </si>
  <si>
    <r>
      <t xml:space="preserve">Analyse </t>
    </r>
    <r>
      <rPr>
        <b/>
        <sz val="11"/>
        <rFont val="Calibri"/>
        <family val="2"/>
        <scheme val="minor"/>
      </rPr>
      <t>NACH</t>
    </r>
    <r>
      <rPr>
        <sz val="11"/>
        <rFont val="Calibri"/>
        <family val="2"/>
        <scheme val="minor"/>
      </rPr>
      <t xml:space="preserve"> Gegenmaßnahme</t>
    </r>
  </si>
  <si>
    <t>Z</t>
  </si>
  <si>
    <t>AA</t>
  </si>
  <si>
    <t>AB</t>
  </si>
  <si>
    <t>AC</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</si>
  <si>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</si>
  <si>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AD</t>
  </si>
  <si>
    <t>AE</t>
  </si>
  <si>
    <t>Der anhand der zuvor geschätzten Eintrittswahrscheinlichkeit einzuberechnende finanzielle Schaden. Die hinterlegte Formel berechnet anhand der Eintrittswahrscheinlichkeit (Feld "J") den prozentualen Anteil des finanzellen Schadens.</t>
  </si>
  <si>
    <t>AF</t>
  </si>
  <si>
    <t>AG</t>
  </si>
  <si>
    <r>
      <rPr>
        <b/>
        <i/>
        <sz val="11"/>
        <rFont val="Calibri"/>
        <family val="2"/>
        <scheme val="minor"/>
      </rPr>
      <t>Verstecktes Feld</t>
    </r>
    <r>
      <rPr>
        <sz val="11"/>
        <rFont val="Calibri"/>
        <family val="2"/>
        <scheme val="minor"/>
      </rPr>
      <t>. Feld der Risikomatrix, in welches das Risiko eingeordnet wird</t>
    </r>
  </si>
  <si>
    <t>AH</t>
  </si>
  <si>
    <t>Feldbeschreibung Tabellenblätter "Risikomatrix VOR und NACH Maßnahme"</t>
  </si>
  <si>
    <t>Sp./Feld</t>
  </si>
  <si>
    <t>Laufende Risikonummer.</t>
  </si>
  <si>
    <t>Auswirkungen 1-5 aus der Risikoliste (Feld "K" bzw. "AC").</t>
  </si>
  <si>
    <t>C-G</t>
  </si>
  <si>
    <t>Risikofelder</t>
  </si>
  <si>
    <t>Farbfeld</t>
  </si>
  <si>
    <t>Anzahl der Risikien in den Klassen A, B und C. Der Wert ergibt sich aus den versteckten Feldern "O" bzw. "AG" der Risikoliste.</t>
  </si>
  <si>
    <t>Eintrittswahrscheinlichkeit (10%, 30%, 50%, 70%, 90%) aus der Risikoliste (Feld "J" bzw. "AB).</t>
  </si>
  <si>
    <t>Risikoliste</t>
  </si>
  <si>
    <t>Risiko</t>
  </si>
  <si>
    <r>
      <t xml:space="preserve">Analyse </t>
    </r>
    <r>
      <rPr>
        <b/>
        <u/>
        <sz val="11"/>
        <rFont val="Calibri"/>
        <family val="2"/>
        <scheme val="minor"/>
      </rPr>
      <t>VOR</t>
    </r>
    <r>
      <rPr>
        <b/>
        <sz val="11"/>
        <rFont val="Calibri"/>
        <family val="2"/>
        <scheme val="minor"/>
      </rPr>
      <t xml:space="preserve"> Gegenmaßnahme</t>
    </r>
  </si>
  <si>
    <t>Analyse NACH Gegenmaßnahme</t>
  </si>
  <si>
    <t>Thema / Kategorie</t>
  </si>
  <si>
    <t>Kurzbe-zeichnung</t>
  </si>
  <si>
    <t>Erfasst am</t>
  </si>
  <si>
    <t>Erfasser/-in</t>
  </si>
  <si>
    <t>Eintrittswahr-scheinlichkeit</t>
  </si>
  <si>
    <t>Erwartungs-wert</t>
  </si>
  <si>
    <t>Mögliche Schäden /Schadensausmass</t>
  </si>
  <si>
    <t>Verantwortliche/-r für Risiko</t>
  </si>
  <si>
    <t>Verantwortliche/-r für Umsetzung</t>
  </si>
  <si>
    <t>Termin für Umsetzung</t>
  </si>
  <si>
    <t>Eskalition erforderlich</t>
  </si>
  <si>
    <t>Mögliche Schäden /Schadensausmaß</t>
  </si>
  <si>
    <t>Technik</t>
  </si>
  <si>
    <t>aktiv</t>
  </si>
  <si>
    <t>&lt;Datum&gt;</t>
  </si>
  <si>
    <t>Legende Eintrittswahrscheinlichkeit</t>
  </si>
  <si>
    <t>10% = Sehr unwahrscheinlich (1%–20%)</t>
  </si>
  <si>
    <t>30% = Unwahrscheinlich (21%–40%)</t>
  </si>
  <si>
    <t>50% = Wahrscheinlich (41%–60%)</t>
  </si>
  <si>
    <t>70% = Höchstwahrscheinlich (61%–80%)</t>
  </si>
  <si>
    <t xml:space="preserve">90% = Fast sicher (81%–99%) </t>
  </si>
  <si>
    <t xml:space="preserve">Legende Auswirkung (Zeit, Kosten, Qualität, Funktionalität) </t>
  </si>
  <si>
    <t>1 = zu vernachlässigen</t>
  </si>
  <si>
    <t>2 = unkritisch</t>
  </si>
  <si>
    <t>3 = in Bereichen kritisch</t>
  </si>
  <si>
    <t>4 = kritisch</t>
  </si>
  <si>
    <t>5 = projektgefährdend</t>
  </si>
  <si>
    <t>Arbeitsblatt nur von der dokumentenverantwortlichen Person zu pflegen! Nur für Excel-interne Steuerung.</t>
  </si>
  <si>
    <t>Verwendungshinweise</t>
  </si>
  <si>
    <t>Das Stammdatenblatt ist für die Funktionalität des Dokuments erforderlich. Es enthält sogenannte "Wertlisten". Über diese Wertlisten wird definiert, welche Auswahlmöglichkeiten in Dropdown-Auswahlfeldern in anderen Arbeitsblättern zur Verfügung stehen (z.B. sind hier für die Wertliste "Status" die Auswahlmöglichkeiten "aktiv", "verworfen", "zurückgestellt" und "beseitigt" hinterlegt).</t>
  </si>
  <si>
    <t>Um eine neue Wertliste zu erstellen, tragen Sie - analog zu den bereits bestehenden Wertlisten - auf diesem Stammdatenblatt die entsprechenden Informationen (Überschrift und Auswahlmöglichkeiten) ein. Markieren Sie anschließend die zur Wertliste gehörenden Auswahlmöglichkeiten (die Überschrift nicht mit markieren!) und tippen Sie in das Namenfeld den Namen ein, den Sie der Wertliste geben wollen (der Name wird in der Regel der Überschrift entsprechen). Das Namensfeld ist das weiße Feld über der Spalte A, links neben der Bearbeitungsleiste, in dem in der Regel der Name der obersten ausgewählten Zelle angezeigt wird. Alternativ können Sie auch den Excel-Namensmanager benutzen, um den zu einer Wertliste gehörenden Auswahlmöglichkeiten einen gemeinsamen Namen zu geben (Excel-Menüleiste "Formeln" --&gt; Unterabschnitt "Definierte Namen" --&gt; Option "Namen definieren").</t>
  </si>
  <si>
    <t xml:space="preserve">Bestehende Wertlisten können um Elemente ergänzt / verkürzt werden, indem in der Excel-Menüleiste (Reiter "Start" --&gt; Unterabschnitt "Zellen") die Option "Einfügen" --&gt; "Zellen einfügen" bzw. "Löschen" --&gt; "Zellen löschen" gewählt wird und man die Aktion mit der Option "Zellen nach unten verschieben" (zum Einfügen) / "Zellen nach oben verschieben" (zum Löschen) bestätigt.
</t>
  </si>
  <si>
    <t xml:space="preserve">Um auf Basis einer erstellten Wertliste ein Dropdown-Auswahlfeld zu erstellen, gehen Sie folgendermaßen vor: gehen Sie auf das jeweilige Arbeitsblatt --&gt; wählen Sie dort die Zelle(n) aus, bei denen die Dropdown-Auswahl erscheinen soll --&gt; gehen Sie in der Excel-Menüleiste auf den Reiter "Daten" --&gt; klicken Sie dort im Unterabschnitt "Datentools" auf das Feld "Datenüberprüfung". Wählen Sie im Abschnitt "Einstellungen --&gt; Gültigkeitskriterien" für das Feld "Zulassen" die Option "Liste" aus. Geben Sie anschließend im Feld "Quelle" ein Gleich-Zeichen (=) ein, gefolgt vom Namen, den Sie der Wertliste zugewiesen haben (z.B. "Status", also "=Status"). Klicken Sie dann auf OK. In den markierten Zellen erscheinen nun Dropdown-Auswahlfelder mit den für die Wertliste "Status" hinterlegten Auswahlmöglichkeiten.
</t>
  </si>
  <si>
    <t>Wahrscheinlichkeit</t>
  </si>
  <si>
    <t>Entscheidung</t>
  </si>
  <si>
    <t>Ja</t>
  </si>
  <si>
    <t>Nein</t>
  </si>
  <si>
    <t>Fachlichkeit</t>
  </si>
  <si>
    <t>verworfen</t>
  </si>
  <si>
    <t>Organisation</t>
  </si>
  <si>
    <t>zurückgestellt</t>
  </si>
  <si>
    <t>beseitigt</t>
  </si>
  <si>
    <t>Vertragsmanagement</t>
  </si>
  <si>
    <t>Sonstiges</t>
  </si>
  <si>
    <t>Strategie</t>
  </si>
  <si>
    <t>Emanuel Wildi</t>
  </si>
  <si>
    <t>WLAN</t>
  </si>
  <si>
    <t>Unbefugter Zugriff aufs Wlan</t>
  </si>
  <si>
    <t>Datenverlust</t>
  </si>
  <si>
    <t>Dateien Lokal speichern statt auf dem Server</t>
  </si>
  <si>
    <t>Phishing Email</t>
  </si>
  <si>
    <t>Eine Phishing Email öffnen</t>
  </si>
  <si>
    <t>Server Ausfall</t>
  </si>
  <si>
    <t>Die Microsoft Server fallen aus</t>
  </si>
  <si>
    <t>Wasserschaden</t>
  </si>
  <si>
    <t>Laptob wird mit Wasser überschüttet</t>
  </si>
  <si>
    <t>Feuer</t>
  </si>
  <si>
    <t>Die Schule fängt an zu brennen</t>
  </si>
  <si>
    <t>Kein Backup</t>
  </si>
  <si>
    <t>Wenn Server/Computer abstürzt ohne Backup</t>
  </si>
  <si>
    <t>Lindauer</t>
  </si>
  <si>
    <t>Zeit</t>
  </si>
  <si>
    <t xml:space="preserve">Nicht genug Zeit, die Lösung zu beenden. </t>
  </si>
  <si>
    <t>Nevio Gallo</t>
  </si>
  <si>
    <t>Streit</t>
  </si>
  <si>
    <t>Das Team möchte nicht mehr zusammen arbeiten</t>
  </si>
  <si>
    <t>Erfahrung</t>
  </si>
  <si>
    <t xml:space="preserve">Unsere Kompetenzen fürs Arbeiten sind nicht gut genug. </t>
  </si>
  <si>
    <t>Abgabetermin</t>
  </si>
  <si>
    <t xml:space="preserve">Wir verpassen den Abgabetermin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</si>
</sst>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 #,##0.00\ [$€]_-;_-* &quot;-&quot;??\ [$€]_-;_-@_-"/>
    <numFmt numFmtId="165" formatCode="#,##0.00\ &quot;€&quot;"/>
  </numFmts>
  <fonts count="41" x14ac:knownFonts="1">
    <font>
      <sz val="10"/>
      <name val="Arial"/>
    </font>
    <font>
      <sz val="8"/>
      <name val="Arial"/>
      <family val="2"/>
    </font>
    <font>
      <b/>
      <sz val="20"/>
      <name val="Cambria"/>
      <family val="1"/>
      <scheme val="major"/>
    </font>
    <font>
      <b/>
      <sz val="18"/>
      <color theme="0"/>
      <name val="Cambria"/>
      <family val="1"/>
      <scheme val="major"/>
    </font>
    <font>
      <b/>
      <sz val="10"/>
      <name val="Calibri"/>
      <family val="2"/>
      <scheme val="minor"/>
    </font>
    <font>
      <sz val="10"/>
      <name val="Calibri"/>
      <family val="2"/>
      <scheme val="minor"/>
    </font>
    <font>
      <b/>
      <sz val="11"/>
      <name val="Calibri"/>
      <family val="2"/>
      <scheme val="minor"/>
    </font>
    <font>
      <sz val="11"/>
      <name val="Calibri"/>
      <family val="2"/>
      <scheme val="minor"/>
    </font>
    <font>
      <b/>
      <sz val="20"/>
      <name val="Calibri"/>
      <family val="2"/>
      <scheme val="minor"/>
    </font>
    <font>
      <sz val="10"/>
      <color theme="0"/>
      <name val="Calibri"/>
      <family val="2"/>
      <scheme val="minor"/>
    </font>
    <font>
      <b/>
      <sz val="10"/>
      <color theme="0"/>
      <name val="Calibri"/>
      <family val="2"/>
      <scheme val="minor"/>
    </font>
    <font>
      <sz val="10"/>
      <name val="Arial"/>
      <family val="2"/>
    </font>
    <font>
      <sz val="10"/>
      <name val="Arial"/>
      <family val="2"/>
    </font>
    <font>
      <b/>
      <sz val="12"/>
      <name val="Calibri"/>
      <family val="2"/>
      <scheme val="minor"/>
    </font>
    <font>
      <b/>
      <sz val="12"/>
      <color theme="0"/>
      <name val="Calibri"/>
      <family val="2"/>
      <scheme val="minor"/>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color indexed="9"/>
      <name val="Calibri"/>
      <family val="2"/>
      <scheme val="minor"/>
    </font>
    <font>
      <b/>
      <u/>
      <sz val="11"/>
      <name val="Calibri"/>
      <family val="2"/>
      <scheme val="minor"/>
    </font>
    <font>
      <b/>
      <i/>
      <sz val="11"/>
      <name val="Calibri"/>
      <family val="2"/>
      <scheme val="minor"/>
    </font>
    <font>
      <b/>
      <sz val="26"/>
      <name val="Calibri"/>
      <family val="2"/>
      <scheme val="minor"/>
    </font>
    <font>
      <b/>
      <sz val="22"/>
      <name val="Calibri"/>
      <family val="2"/>
      <scheme val="minor"/>
    </font>
    <font>
      <b/>
      <i/>
      <sz val="11"/>
      <color theme="0"/>
      <name val="Calibri"/>
      <family val="2"/>
      <scheme val="minor"/>
    </font>
    <font>
      <b/>
      <sz val="16"/>
      <color theme="0"/>
      <name val="Calibri"/>
      <family val="2"/>
      <scheme val="minor"/>
    </font>
    <font>
      <sz val="10"/>
      <color rgb="FF000000"/>
      <name val="Calibri"/>
      <family val="2"/>
    </font>
    <font>
      <sz val="11"/>
      <color rgb="FF000000"/>
      <name val="Calibri"/>
      <family val="2"/>
    </font>
  </fonts>
  <fills count="36">
    <fill>
      <patternFill patternType="none"/>
    </fill>
    <fill>
      <patternFill patternType="gray125"/>
    </fill>
    <fill>
      <patternFill patternType="solid">
        <fgColor rgb="FF064963"/>
        <bgColor indexed="64"/>
      </patternFill>
    </fill>
    <fill>
      <patternFill patternType="solid">
        <fgColor rgb="FF58DA8D"/>
        <bgColor indexed="64"/>
      </patternFill>
    </fill>
    <fill>
      <patternFill patternType="solid">
        <fgColor indexed="13"/>
        <bgColor indexed="64"/>
      </patternFill>
    </fill>
    <fill>
      <patternFill patternType="solid">
        <fgColor indexed="10"/>
        <bgColor indexed="64"/>
      </patternFill>
    </fill>
    <fill>
      <patternFill patternType="solid">
        <fgColor indexed="17"/>
        <bgColor indexed="64"/>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79E1A3"/>
        <bgColor indexed="64"/>
      </patternFill>
    </fill>
    <fill>
      <patternFill patternType="solid">
        <fgColor rgb="FF2AC067"/>
        <bgColor indexed="64"/>
      </patternFill>
    </fill>
    <fill>
      <patternFill patternType="solid">
        <fgColor theme="0" tint="-4.9989318521683403E-2"/>
        <bgColor indexed="64"/>
      </patternFill>
    </fill>
    <fill>
      <patternFill patternType="solid">
        <fgColor theme="0" tint="-0.14999847407452621"/>
        <bgColor indexed="64"/>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23"/>
      </left>
      <right style="thin">
        <color indexed="8"/>
      </right>
      <top style="medium">
        <color indexed="23"/>
      </top>
      <bottom style="thin">
        <color indexed="8"/>
      </bottom>
      <diagonal/>
    </border>
    <border>
      <left style="thin">
        <color indexed="8"/>
      </left>
      <right style="thin">
        <color indexed="8"/>
      </right>
      <top style="medium">
        <color indexed="23"/>
      </top>
      <bottom style="thin">
        <color indexed="8"/>
      </bottom>
      <diagonal/>
    </border>
    <border>
      <left style="thin">
        <color indexed="8"/>
      </left>
      <right style="medium">
        <color indexed="23"/>
      </right>
      <top style="medium">
        <color indexed="23"/>
      </top>
      <bottom style="thin">
        <color indexed="8"/>
      </bottom>
      <diagonal/>
    </border>
    <border>
      <left style="medium">
        <color indexed="23"/>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23"/>
      </right>
      <top style="thin">
        <color indexed="8"/>
      </top>
      <bottom style="thin">
        <color indexed="8"/>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thin">
        <color indexed="8"/>
      </right>
      <top style="thin">
        <color indexed="8"/>
      </top>
      <bottom style="medium">
        <color indexed="23"/>
      </bottom>
      <diagonal/>
    </border>
    <border>
      <left style="thin">
        <color indexed="8"/>
      </left>
      <right style="thin">
        <color indexed="8"/>
      </right>
      <top style="thin">
        <color indexed="8"/>
      </top>
      <bottom style="medium">
        <color indexed="23"/>
      </bottom>
      <diagonal/>
    </border>
    <border>
      <left style="thin">
        <color indexed="8"/>
      </left>
      <right style="medium">
        <color indexed="23"/>
      </right>
      <top style="thin">
        <color indexed="8"/>
      </top>
      <bottom style="medium">
        <color indexed="23"/>
      </bottom>
      <diagonal/>
    </border>
    <border>
      <left style="medium">
        <color indexed="23"/>
      </left>
      <right style="medium">
        <color indexed="23"/>
      </right>
      <top/>
      <bottom style="medium">
        <color indexed="23"/>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s>
  <cellStyleXfs count="46">
    <xf numFmtId="0" fontId="0" fillId="0" borderId="0"/>
    <xf numFmtId="0" fontId="11" fillId="0" borderId="0"/>
    <xf numFmtId="0" fontId="11" fillId="0" borderId="0"/>
    <xf numFmtId="9" fontId="12" fillId="0" borderId="0" applyFont="0" applyFill="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17" borderId="0" applyNumberFormat="0" applyBorder="0" applyAlignment="0" applyProtection="0"/>
    <xf numFmtId="0" fontId="15" fillId="15"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7" borderId="0" applyNumberFormat="0" applyBorder="0" applyAlignment="0" applyProtection="0"/>
    <xf numFmtId="0" fontId="15" fillId="19" borderId="0" applyNumberFormat="0" applyBorder="0" applyAlignment="0" applyProtection="0"/>
    <xf numFmtId="0" fontId="16" fillId="21" borderId="0" applyNumberFormat="0" applyBorder="0" applyAlignment="0" applyProtection="0"/>
    <xf numFmtId="0" fontId="16" fillId="15"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0"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2" borderId="0" applyNumberFormat="0" applyBorder="0" applyAlignment="0" applyProtection="0"/>
    <xf numFmtId="0" fontId="16" fillId="20" borderId="0" applyNumberFormat="0" applyBorder="0" applyAlignment="0" applyProtection="0"/>
    <xf numFmtId="0" fontId="16" fillId="27" borderId="0" applyNumberFormat="0" applyBorder="0" applyAlignment="0" applyProtection="0"/>
    <xf numFmtId="0" fontId="17" fillId="14" borderId="24" applyNumberFormat="0" applyAlignment="0" applyProtection="0"/>
    <xf numFmtId="0" fontId="18" fillId="14" borderId="25" applyNumberFormat="0" applyAlignment="0" applyProtection="0"/>
    <xf numFmtId="0" fontId="19" fillId="7" borderId="25" applyNumberFormat="0" applyAlignment="0" applyProtection="0"/>
    <xf numFmtId="0" fontId="20" fillId="0" borderId="26" applyNumberFormat="0" applyFill="0" applyAlignment="0" applyProtection="0"/>
    <xf numFmtId="0" fontId="21" fillId="0" borderId="0" applyNumberFormat="0" applyFill="0" applyBorder="0" applyAlignment="0" applyProtection="0"/>
    <xf numFmtId="164" fontId="11" fillId="0" borderId="0" applyFont="0" applyFill="0" applyBorder="0" applyAlignment="0" applyProtection="0"/>
    <xf numFmtId="0" fontId="22" fillId="12" borderId="0" applyNumberFormat="0" applyBorder="0" applyAlignment="0" applyProtection="0"/>
    <xf numFmtId="0" fontId="23" fillId="16" borderId="0" applyNumberFormat="0" applyBorder="0" applyAlignment="0" applyProtection="0"/>
    <xf numFmtId="0" fontId="11" fillId="8" borderId="27" applyNumberFormat="0" applyFont="0" applyAlignment="0" applyProtection="0"/>
    <xf numFmtId="0" fontId="24" fillId="11" borderId="0" applyNumberFormat="0" applyBorder="0" applyAlignment="0" applyProtection="0"/>
    <xf numFmtId="0" fontId="25" fillId="0" borderId="0" applyNumberFormat="0" applyFill="0" applyBorder="0" applyAlignment="0" applyProtection="0"/>
    <xf numFmtId="0" fontId="26" fillId="0" borderId="28" applyNumberFormat="0" applyFill="0" applyAlignment="0" applyProtection="0"/>
    <xf numFmtId="0" fontId="27" fillId="0" borderId="29" applyNumberFormat="0" applyFill="0" applyAlignment="0" applyProtection="0"/>
    <xf numFmtId="0" fontId="28" fillId="0" borderId="30" applyNumberFormat="0" applyFill="0" applyAlignment="0" applyProtection="0"/>
    <xf numFmtId="0" fontId="28" fillId="0" borderId="0" applyNumberFormat="0" applyFill="0" applyBorder="0" applyAlignment="0" applyProtection="0"/>
    <xf numFmtId="0" fontId="29" fillId="0" borderId="31" applyNumberFormat="0" applyFill="0" applyAlignment="0" applyProtection="0"/>
    <xf numFmtId="0" fontId="30" fillId="0" borderId="0" applyNumberFormat="0" applyFill="0" applyBorder="0" applyAlignment="0" applyProtection="0"/>
    <xf numFmtId="0" fontId="31" fillId="28" borderId="32" applyNumberFormat="0" applyAlignment="0" applyProtection="0"/>
  </cellStyleXfs>
  <cellXfs count="119">
    <xf numFmtId="0" fontId="0" fillId="0" borderId="0" xfId="0"/>
    <xf numFmtId="0" fontId="7" fillId="0" borderId="0" xfId="0" applyFont="1" applyAlignment="1">
      <alignment vertical="center"/>
    </xf>
    <xf numFmtId="0" fontId="5" fillId="0" borderId="0" xfId="2" applyFont="1" applyAlignment="1">
      <alignment vertical="center"/>
    </xf>
    <xf numFmtId="0" fontId="4" fillId="0" borderId="0" xfId="2" applyFont="1" applyAlignment="1">
      <alignment horizontal="right" vertical="top"/>
    </xf>
    <xf numFmtId="0" fontId="4" fillId="0" borderId="0" xfId="2" applyFont="1" applyAlignment="1">
      <alignment vertical="top" wrapText="1"/>
    </xf>
    <xf numFmtId="0" fontId="5" fillId="0" borderId="0" xfId="2" applyFont="1" applyAlignment="1">
      <alignment vertical="top"/>
    </xf>
    <xf numFmtId="0" fontId="5" fillId="3" borderId="0" xfId="2" applyFont="1" applyFill="1" applyAlignment="1">
      <alignment vertical="center"/>
    </xf>
    <xf numFmtId="0" fontId="4" fillId="3" borderId="0" xfId="2" applyFont="1" applyFill="1" applyAlignment="1">
      <alignment horizontal="right" vertical="top"/>
    </xf>
    <xf numFmtId="0" fontId="4" fillId="3" borderId="0" xfId="2" applyFont="1" applyFill="1" applyAlignment="1">
      <alignment vertical="top" wrapText="1"/>
    </xf>
    <xf numFmtId="0" fontId="8" fillId="3" borderId="0" xfId="2" applyFont="1" applyFill="1" applyAlignment="1">
      <alignment vertical="top"/>
    </xf>
    <xf numFmtId="0" fontId="8" fillId="0" borderId="0" xfId="2" applyFont="1" applyAlignment="1">
      <alignment vertical="top"/>
    </xf>
    <xf numFmtId="0" fontId="2" fillId="3" borderId="0" xfId="2" applyFont="1" applyFill="1" applyAlignment="1">
      <alignment vertical="top" wrapText="1"/>
    </xf>
    <xf numFmtId="0" fontId="9" fillId="2" borderId="0" xfId="2" applyFont="1" applyFill="1" applyAlignment="1">
      <alignment vertical="center"/>
    </xf>
    <xf numFmtId="0" fontId="10" fillId="2" borderId="0" xfId="2" applyFont="1" applyFill="1" applyAlignment="1">
      <alignment horizontal="right" vertical="top"/>
    </xf>
    <xf numFmtId="0" fontId="10" fillId="2" borderId="0" xfId="2" applyFont="1" applyFill="1" applyAlignment="1">
      <alignment vertical="top" wrapText="1"/>
    </xf>
    <xf numFmtId="0" fontId="3" fillId="2" borderId="0" xfId="2" applyFont="1" applyFill="1" applyAlignment="1">
      <alignment horizontal="left" vertical="top"/>
    </xf>
    <xf numFmtId="0" fontId="7" fillId="0" borderId="0" xfId="0" applyFont="1"/>
    <xf numFmtId="0" fontId="7" fillId="0" borderId="7" xfId="0" quotePrefix="1" applyFont="1" applyBorder="1" applyAlignment="1">
      <alignment horizontal="right" vertical="top"/>
    </xf>
    <xf numFmtId="0" fontId="7" fillId="0" borderId="0" xfId="0" applyFont="1" applyAlignment="1">
      <alignment vertical="top"/>
    </xf>
    <xf numFmtId="0" fontId="7" fillId="0" borderId="10" xfId="0" quotePrefix="1" applyFont="1" applyBorder="1" applyAlignment="1">
      <alignment horizontal="right" vertical="top"/>
    </xf>
    <xf numFmtId="0" fontId="6" fillId="0" borderId="0" xfId="0" applyFont="1" applyAlignment="1">
      <alignment horizontal="center" vertical="top"/>
    </xf>
    <xf numFmtId="0" fontId="7" fillId="0" borderId="7" xfId="0" applyFont="1" applyBorder="1" applyAlignment="1">
      <alignment horizontal="left" vertical="top" wrapText="1"/>
    </xf>
    <xf numFmtId="0" fontId="7" fillId="0" borderId="8" xfId="0" applyFont="1" applyBorder="1" applyAlignment="1">
      <alignment vertical="top" wrapText="1"/>
    </xf>
    <xf numFmtId="0" fontId="7" fillId="0" borderId="9" xfId="0" applyFont="1" applyBorder="1" applyAlignment="1">
      <alignment vertical="top" wrapText="1"/>
    </xf>
    <xf numFmtId="0" fontId="7" fillId="0" borderId="0" xfId="0" applyFont="1" applyAlignment="1">
      <alignment horizontal="center" vertical="top" wrapText="1"/>
    </xf>
    <xf numFmtId="0" fontId="7" fillId="0" borderId="0" xfId="0" applyFont="1" applyAlignment="1">
      <alignment vertical="top" wrapText="1"/>
    </xf>
    <xf numFmtId="0" fontId="7" fillId="0" borderId="0" xfId="0" quotePrefix="1" applyFont="1" applyAlignment="1">
      <alignment horizontal="right" vertical="top"/>
    </xf>
    <xf numFmtId="0" fontId="6" fillId="0" borderId="0" xfId="0" applyFont="1" applyAlignment="1">
      <alignment horizontal="center"/>
    </xf>
    <xf numFmtId="9" fontId="7" fillId="0" borderId="0" xfId="0" applyNumberFormat="1" applyFont="1" applyAlignment="1">
      <alignment horizontal="center"/>
    </xf>
    <xf numFmtId="0" fontId="7" fillId="0" borderId="0" xfId="0" applyFont="1" applyAlignment="1">
      <alignment horizontal="center"/>
    </xf>
    <xf numFmtId="0" fontId="7" fillId="0" borderId="8" xfId="0" quotePrefix="1" applyFont="1" applyBorder="1" applyAlignment="1">
      <alignment horizontal="left" vertical="top" wrapText="1"/>
    </xf>
    <xf numFmtId="0" fontId="7" fillId="0" borderId="0" xfId="0" applyFont="1" applyProtection="1">
      <protection locked="0"/>
    </xf>
    <xf numFmtId="0" fontId="7" fillId="0" borderId="0" xfId="2" applyFont="1" applyAlignment="1" applyProtection="1">
      <alignment horizontal="center" vertical="center"/>
      <protection locked="0"/>
    </xf>
    <xf numFmtId="0" fontId="7" fillId="0" borderId="0" xfId="2" applyFont="1" applyProtection="1">
      <protection locked="0"/>
    </xf>
    <xf numFmtId="9" fontId="7" fillId="0" borderId="8" xfId="2" applyNumberFormat="1" applyFont="1" applyBorder="1" applyAlignment="1" applyProtection="1">
      <alignment horizontal="center" vertical="center"/>
      <protection locked="0"/>
    </xf>
    <xf numFmtId="0" fontId="6" fillId="0" borderId="0" xfId="0" applyFont="1" applyProtection="1">
      <protection locked="0"/>
    </xf>
    <xf numFmtId="0" fontId="7" fillId="4" borderId="12" xfId="2" applyFont="1" applyFill="1" applyBorder="1" applyAlignment="1">
      <alignment horizontal="center" vertical="center"/>
    </xf>
    <xf numFmtId="0" fontId="7" fillId="4" borderId="13" xfId="2" applyFont="1" applyFill="1" applyBorder="1" applyAlignment="1">
      <alignment horizontal="center" vertical="center"/>
    </xf>
    <xf numFmtId="0" fontId="7" fillId="5" borderId="13" xfId="2" applyFont="1" applyFill="1" applyBorder="1" applyAlignment="1">
      <alignment horizontal="center" vertical="center"/>
    </xf>
    <xf numFmtId="0" fontId="7" fillId="5" borderId="14" xfId="2" applyFont="1" applyFill="1" applyBorder="1" applyAlignment="1">
      <alignment horizontal="center" vertical="center"/>
    </xf>
    <xf numFmtId="0" fontId="32" fillId="6" borderId="15" xfId="2" applyFont="1" applyFill="1" applyBorder="1" applyAlignment="1">
      <alignment horizontal="center" vertical="center"/>
    </xf>
    <xf numFmtId="0" fontId="7" fillId="4" borderId="16" xfId="2" applyFont="1" applyFill="1" applyBorder="1" applyAlignment="1">
      <alignment horizontal="center" vertical="center"/>
    </xf>
    <xf numFmtId="0" fontId="7" fillId="5" borderId="16" xfId="2" applyFont="1" applyFill="1" applyBorder="1" applyAlignment="1">
      <alignment horizontal="center" vertical="center"/>
    </xf>
    <xf numFmtId="0" fontId="7" fillId="5" borderId="17" xfId="2" applyFont="1" applyFill="1" applyBorder="1" applyAlignment="1">
      <alignment horizontal="center" vertical="center"/>
    </xf>
    <xf numFmtId="0" fontId="32" fillId="6" borderId="16" xfId="2" applyFont="1" applyFill="1" applyBorder="1" applyAlignment="1">
      <alignment horizontal="center" vertical="center"/>
    </xf>
    <xf numFmtId="0" fontId="7" fillId="4" borderId="17" xfId="2" applyFont="1" applyFill="1" applyBorder="1" applyAlignment="1">
      <alignment horizontal="center" vertical="center"/>
    </xf>
    <xf numFmtId="0" fontId="32" fillId="6" borderId="20" xfId="2" applyFont="1" applyFill="1" applyBorder="1" applyAlignment="1">
      <alignment horizontal="center" vertical="center"/>
    </xf>
    <xf numFmtId="0" fontId="32" fillId="6" borderId="21" xfId="2" applyFont="1" applyFill="1" applyBorder="1" applyAlignment="1">
      <alignment horizontal="center" vertical="center"/>
    </xf>
    <xf numFmtId="0" fontId="7" fillId="4" borderId="22" xfId="2" applyFont="1" applyFill="1" applyBorder="1" applyAlignment="1">
      <alignment horizontal="center" vertical="center"/>
    </xf>
    <xf numFmtId="0" fontId="7" fillId="5" borderId="18" xfId="2" applyFont="1" applyFill="1" applyBorder="1" applyAlignment="1">
      <alignment horizontal="center" vertical="center" wrapText="1"/>
    </xf>
    <xf numFmtId="0" fontId="7" fillId="4" borderId="19" xfId="2" applyFont="1" applyFill="1" applyBorder="1" applyAlignment="1">
      <alignment horizontal="center" vertical="center" wrapText="1"/>
    </xf>
    <xf numFmtId="0" fontId="7" fillId="6" borderId="23" xfId="2" applyFont="1" applyFill="1" applyBorder="1" applyAlignment="1">
      <alignment horizontal="center" vertical="center" wrapText="1"/>
    </xf>
    <xf numFmtId="0" fontId="6" fillId="0" borderId="0" xfId="0" applyFont="1" applyAlignment="1">
      <alignment vertical="center"/>
    </xf>
    <xf numFmtId="0" fontId="7" fillId="0" borderId="0" xfId="2" quotePrefix="1" applyFont="1" applyAlignment="1">
      <alignment horizontal="right" vertical="top"/>
    </xf>
    <xf numFmtId="0" fontId="7" fillId="0" borderId="0" xfId="2" applyFont="1" applyAlignment="1">
      <alignment horizontal="left" vertical="top" wrapText="1"/>
    </xf>
    <xf numFmtId="0" fontId="7" fillId="0" borderId="0" xfId="0" applyFont="1" applyAlignment="1" applyProtection="1">
      <alignment horizontal="center" vertical="center" wrapText="1"/>
      <protection locked="0"/>
    </xf>
    <xf numFmtId="0" fontId="6" fillId="29" borderId="10" xfId="0" applyFont="1" applyFill="1" applyBorder="1" applyAlignment="1" applyProtection="1">
      <alignment horizontal="center" vertical="center" wrapText="1"/>
      <protection locked="0"/>
    </xf>
    <xf numFmtId="0" fontId="6" fillId="29" borderId="0" xfId="0" applyFont="1" applyFill="1" applyAlignment="1" applyProtection="1">
      <alignment horizontal="center" vertical="center" wrapText="1"/>
      <protection locked="0"/>
    </xf>
    <xf numFmtId="0" fontId="6" fillId="30" borderId="0" xfId="0" applyFont="1" applyFill="1" applyAlignment="1" applyProtection="1">
      <alignment horizontal="center" vertical="center" wrapText="1"/>
      <protection locked="0"/>
    </xf>
    <xf numFmtId="0" fontId="6" fillId="32" borderId="0" xfId="0" applyFont="1" applyFill="1" applyAlignment="1" applyProtection="1">
      <alignment horizontal="center" vertical="center" wrapText="1"/>
      <protection locked="0"/>
    </xf>
    <xf numFmtId="0" fontId="6" fillId="32" borderId="11" xfId="0" applyFont="1" applyFill="1" applyBorder="1" applyAlignment="1" applyProtection="1">
      <alignment horizontal="center" vertical="center" wrapText="1"/>
      <protection locked="0"/>
    </xf>
    <xf numFmtId="0" fontId="5" fillId="0" borderId="0" xfId="0" applyFont="1" applyProtection="1">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5" fillId="0" borderId="2" xfId="3" applyFont="1" applyBorder="1" applyAlignment="1" applyProtection="1">
      <alignment horizontal="center"/>
      <protection locked="0"/>
    </xf>
    <xf numFmtId="0" fontId="5" fillId="0" borderId="2" xfId="0" applyFont="1" applyBorder="1" applyAlignment="1">
      <alignment horizontal="center"/>
    </xf>
    <xf numFmtId="14" fontId="5" fillId="0" borderId="2" xfId="0" applyNumberFormat="1" applyFont="1" applyBorder="1" applyAlignment="1" applyProtection="1">
      <alignment horizontal="center"/>
      <protection locked="0"/>
    </xf>
    <xf numFmtId="0" fontId="6" fillId="32" borderId="10" xfId="0" applyFont="1" applyFill="1" applyBorder="1" applyAlignment="1" applyProtection="1">
      <alignment horizontal="center" vertical="center" wrapText="1"/>
      <protection locked="0"/>
    </xf>
    <xf numFmtId="0" fontId="5" fillId="0" borderId="1" xfId="0" applyFont="1" applyBorder="1" applyAlignment="1" applyProtection="1">
      <alignment horizontal="center" wrapText="1"/>
      <protection locked="0"/>
    </xf>
    <xf numFmtId="0" fontId="5" fillId="0" borderId="3" xfId="0" applyFont="1" applyBorder="1" applyAlignment="1" applyProtection="1">
      <alignment horizontal="center"/>
      <protection locked="0"/>
    </xf>
    <xf numFmtId="165" fontId="5" fillId="0" borderId="2" xfId="0" applyNumberFormat="1" applyFont="1" applyBorder="1" applyAlignment="1" applyProtection="1">
      <alignment horizontal="center"/>
      <protection locked="0"/>
    </xf>
    <xf numFmtId="165" fontId="5" fillId="0" borderId="2" xfId="0" applyNumberFormat="1" applyFont="1" applyBorder="1" applyAlignment="1">
      <alignment horizontal="center"/>
    </xf>
    <xf numFmtId="0" fontId="35" fillId="3" borderId="0" xfId="2" applyFont="1" applyFill="1" applyAlignment="1">
      <alignment horizontal="left" vertical="top"/>
    </xf>
    <xf numFmtId="0" fontId="35" fillId="3" borderId="0" xfId="2" applyFont="1" applyFill="1" applyAlignment="1">
      <alignment horizontal="left" vertical="top" wrapText="1"/>
    </xf>
    <xf numFmtId="0" fontId="36" fillId="3" borderId="0" xfId="2" applyFont="1" applyFill="1" applyAlignment="1">
      <alignment vertical="top" wrapText="1"/>
    </xf>
    <xf numFmtId="0" fontId="8" fillId="3" borderId="0" xfId="1" applyFont="1" applyFill="1" applyAlignment="1">
      <alignment horizontal="left" vertical="top" wrapText="1"/>
    </xf>
    <xf numFmtId="0" fontId="38" fillId="2" borderId="0" xfId="2" applyFont="1" applyFill="1" applyAlignment="1">
      <alignment horizontal="left" vertical="top"/>
    </xf>
    <xf numFmtId="49" fontId="38" fillId="2" borderId="0" xfId="2" applyNumberFormat="1" applyFont="1" applyFill="1" applyAlignment="1">
      <alignment horizontal="left" vertical="top"/>
    </xf>
    <xf numFmtId="0" fontId="7" fillId="0" borderId="10" xfId="0" applyFont="1" applyBorder="1" applyAlignment="1">
      <alignment horizontal="left" vertical="top" wrapText="1"/>
    </xf>
    <xf numFmtId="0" fontId="7" fillId="0" borderId="11" xfId="0" applyFont="1" applyBorder="1" applyAlignment="1">
      <alignment vertical="top" wrapText="1"/>
    </xf>
    <xf numFmtId="16" fontId="7" fillId="0" borderId="10" xfId="0" quotePrefix="1" applyNumberFormat="1"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vertical="top" wrapText="1"/>
    </xf>
    <xf numFmtId="0" fontId="7" fillId="0" borderId="6" xfId="0" applyFont="1" applyBorder="1" applyAlignment="1">
      <alignment vertical="top" wrapText="1"/>
    </xf>
    <xf numFmtId="0" fontId="6" fillId="0" borderId="0" xfId="0" applyFont="1" applyAlignment="1">
      <alignment vertical="top"/>
    </xf>
    <xf numFmtId="0" fontId="6" fillId="0" borderId="10" xfId="0" applyFont="1" applyBorder="1" applyAlignment="1">
      <alignment vertical="top"/>
    </xf>
    <xf numFmtId="0" fontId="6" fillId="0" borderId="11" xfId="0" applyFont="1" applyBorder="1" applyAlignment="1">
      <alignment vertical="top"/>
    </xf>
    <xf numFmtId="0" fontId="5" fillId="0" borderId="2" xfId="0" applyFont="1" applyBorder="1" applyAlignment="1" applyProtection="1">
      <alignment horizontal="center" wrapText="1"/>
      <protection locked="0"/>
    </xf>
    <xf numFmtId="0" fontId="6" fillId="35" borderId="4" xfId="0" applyFont="1" applyFill="1" applyBorder="1" applyAlignment="1">
      <alignment horizontal="left" vertical="center"/>
    </xf>
    <xf numFmtId="0" fontId="6" fillId="35" borderId="5" xfId="0" applyFont="1" applyFill="1" applyBorder="1" applyAlignment="1">
      <alignment horizontal="left" vertical="center"/>
    </xf>
    <xf numFmtId="0" fontId="6" fillId="35" borderId="6" xfId="0" applyFont="1" applyFill="1" applyBorder="1" applyAlignment="1">
      <alignment horizontal="left" vertical="center"/>
    </xf>
    <xf numFmtId="0" fontId="7" fillId="0" borderId="0" xfId="0" applyFont="1" applyAlignment="1">
      <alignment horizontal="left" vertical="top" wrapText="1"/>
    </xf>
    <xf numFmtId="0" fontId="7" fillId="0" borderId="11" xfId="0" applyFont="1" applyBorder="1" applyAlignment="1">
      <alignment horizontal="left" vertical="top"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7" fillId="0" borderId="0" xfId="0" applyFont="1" applyAlignment="1">
      <alignment horizontal="left" vertical="top"/>
    </xf>
    <xf numFmtId="0" fontId="7" fillId="0" borderId="11" xfId="0" applyFont="1" applyBorder="1" applyAlignment="1">
      <alignment horizontal="left" vertical="top"/>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34" borderId="10" xfId="0" applyFont="1" applyFill="1" applyBorder="1" applyAlignment="1">
      <alignment horizontal="center" vertical="top" wrapText="1"/>
    </xf>
    <xf numFmtId="0" fontId="7" fillId="34" borderId="0" xfId="0" applyFont="1" applyFill="1" applyAlignment="1">
      <alignment horizontal="center" vertical="top" wrapText="1"/>
    </xf>
    <xf numFmtId="0" fontId="7" fillId="34" borderId="11" xfId="0" applyFont="1" applyFill="1" applyBorder="1" applyAlignment="1">
      <alignment horizontal="center" vertical="top" wrapText="1"/>
    </xf>
    <xf numFmtId="0" fontId="14" fillId="2" borderId="10" xfId="0" applyFont="1" applyFill="1" applyBorder="1" applyAlignment="1" applyProtection="1">
      <alignment horizontal="center" vertical="center"/>
      <protection locked="0"/>
    </xf>
    <xf numFmtId="0" fontId="14" fillId="2" borderId="0" xfId="0" applyFont="1" applyFill="1" applyAlignment="1" applyProtection="1">
      <alignment horizontal="center" vertical="center"/>
      <protection locked="0"/>
    </xf>
    <xf numFmtId="0" fontId="6" fillId="30" borderId="10" xfId="0" applyFont="1" applyFill="1" applyBorder="1" applyAlignment="1" applyProtection="1">
      <alignment horizontal="left"/>
      <protection locked="0"/>
    </xf>
    <xf numFmtId="0" fontId="6" fillId="30" borderId="0" xfId="0" applyFont="1" applyFill="1" applyAlignment="1" applyProtection="1">
      <alignment horizontal="left"/>
      <protection locked="0"/>
    </xf>
    <xf numFmtId="0" fontId="6" fillId="31" borderId="0" xfId="0" applyFont="1" applyFill="1" applyAlignment="1" applyProtection="1">
      <alignment horizontal="center"/>
      <protection locked="0"/>
    </xf>
    <xf numFmtId="0" fontId="6" fillId="3" borderId="4" xfId="0" applyFont="1" applyFill="1" applyBorder="1" applyAlignment="1" applyProtection="1">
      <alignment horizontal="center"/>
      <protection locked="0"/>
    </xf>
    <xf numFmtId="0" fontId="6" fillId="3" borderId="5" xfId="0" applyFont="1" applyFill="1" applyBorder="1" applyAlignment="1" applyProtection="1">
      <alignment horizontal="center"/>
      <protection locked="0"/>
    </xf>
    <xf numFmtId="0" fontId="6" fillId="3" borderId="6" xfId="0" applyFont="1" applyFill="1" applyBorder="1" applyAlignment="1" applyProtection="1">
      <alignment horizontal="center"/>
      <protection locked="0"/>
    </xf>
    <xf numFmtId="0" fontId="6" fillId="33" borderId="4" xfId="0" applyFont="1" applyFill="1" applyBorder="1" applyAlignment="1" applyProtection="1">
      <alignment horizontal="center"/>
      <protection locked="0"/>
    </xf>
    <xf numFmtId="0" fontId="6" fillId="33" borderId="5" xfId="0" applyFont="1" applyFill="1" applyBorder="1" applyAlignment="1" applyProtection="1">
      <alignment horizontal="center"/>
      <protection locked="0"/>
    </xf>
    <xf numFmtId="0" fontId="6" fillId="33" borderId="6" xfId="0" applyFont="1" applyFill="1" applyBorder="1" applyAlignment="1" applyProtection="1">
      <alignment horizontal="center"/>
      <protection locked="0"/>
    </xf>
    <xf numFmtId="0" fontId="13" fillId="0" borderId="11" xfId="2" applyFont="1" applyBorder="1" applyAlignment="1" applyProtection="1">
      <alignment horizontal="center" vertical="center" textRotation="90"/>
      <protection locked="0"/>
    </xf>
    <xf numFmtId="0" fontId="13" fillId="0" borderId="0" xfId="2" applyFont="1" applyAlignment="1" applyProtection="1">
      <alignment horizontal="center" vertical="center"/>
      <protection locked="0"/>
    </xf>
    <xf numFmtId="0" fontId="7" fillId="0" borderId="0" xfId="0" applyFont="1" applyAlignment="1">
      <alignment vertical="top" wrapText="1"/>
    </xf>
    <xf numFmtId="0" fontId="7" fillId="0" borderId="0" xfId="0" applyFont="1" applyAlignment="1">
      <alignment vertical="top"/>
    </xf>
    <xf numFmtId="0" fontId="37" fillId="2" borderId="0" xfId="0" applyFont="1" applyFill="1" applyAlignment="1">
      <alignment horizontal="center" vertical="center"/>
    </xf>
    <xf numFmtId="0" fontId="6" fillId="35" borderId="0" xfId="0" applyFont="1" applyFill="1" applyAlignment="1">
      <alignment horizontal="center" vertical="center"/>
    </xf>
  </cellXfs>
  <cellStyles count="46">
    <cellStyle name="20% - Akzent1" xfId="4" xr:uid="{00000000-0005-0000-0000-000000000000}"/>
    <cellStyle name="20% - Akzent2" xfId="5" xr:uid="{00000000-0005-0000-0000-000001000000}"/>
    <cellStyle name="20% - Akzent3" xfId="6" xr:uid="{00000000-0005-0000-0000-000002000000}"/>
    <cellStyle name="20% - Akzent4" xfId="7" xr:uid="{00000000-0005-0000-0000-000003000000}"/>
    <cellStyle name="20% - Akzent5" xfId="8" xr:uid="{00000000-0005-0000-0000-000004000000}"/>
    <cellStyle name="20% - Akzent6" xfId="9" xr:uid="{00000000-0005-0000-0000-000005000000}"/>
    <cellStyle name="40% - Akzent1" xfId="10" xr:uid="{00000000-0005-0000-0000-000006000000}"/>
    <cellStyle name="40% - Akzent2" xfId="11" xr:uid="{00000000-0005-0000-0000-000007000000}"/>
    <cellStyle name="40% - Akzent3" xfId="12" xr:uid="{00000000-0005-0000-0000-000008000000}"/>
    <cellStyle name="40% - Akzent4" xfId="13" xr:uid="{00000000-0005-0000-0000-000009000000}"/>
    <cellStyle name="40% - Akzent5" xfId="14" xr:uid="{00000000-0005-0000-0000-00000A000000}"/>
    <cellStyle name="40% - Akzent6" xfId="15" xr:uid="{00000000-0005-0000-0000-00000B000000}"/>
    <cellStyle name="60% - Akzent1" xfId="16" xr:uid="{00000000-0005-0000-0000-00000C000000}"/>
    <cellStyle name="60% - Akzent2" xfId="17" xr:uid="{00000000-0005-0000-0000-00000D000000}"/>
    <cellStyle name="60% - Akzent3" xfId="18" xr:uid="{00000000-0005-0000-0000-00000E000000}"/>
    <cellStyle name="60% - Akzent4" xfId="19" xr:uid="{00000000-0005-0000-0000-00000F000000}"/>
    <cellStyle name="60% - Akzent5" xfId="20" xr:uid="{00000000-0005-0000-0000-000010000000}"/>
    <cellStyle name="60% - Akzent6" xfId="21" xr:uid="{00000000-0005-0000-0000-000011000000}"/>
    <cellStyle name="Akzent1 2" xfId="22" xr:uid="{00000000-0005-0000-0000-000012000000}"/>
    <cellStyle name="Akzent2 2" xfId="23" xr:uid="{00000000-0005-0000-0000-000013000000}"/>
    <cellStyle name="Akzent3 2" xfId="24" xr:uid="{00000000-0005-0000-0000-000014000000}"/>
    <cellStyle name="Akzent4 2" xfId="25" xr:uid="{00000000-0005-0000-0000-000015000000}"/>
    <cellStyle name="Akzent5 2" xfId="26" xr:uid="{00000000-0005-0000-0000-000016000000}"/>
    <cellStyle name="Akzent6 2" xfId="27" xr:uid="{00000000-0005-0000-0000-000017000000}"/>
    <cellStyle name="Ausgabe 2" xfId="28" xr:uid="{00000000-0005-0000-0000-000018000000}"/>
    <cellStyle name="Berechnung 2" xfId="29" xr:uid="{00000000-0005-0000-0000-000019000000}"/>
    <cellStyle name="Eingabe 2" xfId="30" xr:uid="{00000000-0005-0000-0000-00001A000000}"/>
    <cellStyle name="Ergebnis 2" xfId="31" xr:uid="{00000000-0005-0000-0000-00001B000000}"/>
    <cellStyle name="Erklärender Text 2" xfId="32" xr:uid="{00000000-0005-0000-0000-00001C000000}"/>
    <cellStyle name="Euro" xfId="33" xr:uid="{00000000-0005-0000-0000-00001D000000}"/>
    <cellStyle name="Gut 2" xfId="34" xr:uid="{00000000-0005-0000-0000-00001E000000}"/>
    <cellStyle name="Neutral 2" xfId="35" xr:uid="{00000000-0005-0000-0000-00001F000000}"/>
    <cellStyle name="Notiz 2" xfId="36" xr:uid="{00000000-0005-0000-0000-000020000000}"/>
    <cellStyle name="Prozent" xfId="3" builtinId="5"/>
    <cellStyle name="Schlecht 2" xfId="37" xr:uid="{00000000-0005-0000-0000-000022000000}"/>
    <cellStyle name="Standard" xfId="0" builtinId="0"/>
    <cellStyle name="Standard 2" xfId="2" xr:uid="{00000000-0005-0000-0000-000024000000}"/>
    <cellStyle name="Standard 3" xfId="1" xr:uid="{00000000-0005-0000-0000-000025000000}"/>
    <cellStyle name="Überschrift 1 2" xfId="39" xr:uid="{00000000-0005-0000-0000-000026000000}"/>
    <cellStyle name="Überschrift 2 2" xfId="40" xr:uid="{00000000-0005-0000-0000-000027000000}"/>
    <cellStyle name="Überschrift 3 2" xfId="41" xr:uid="{00000000-0005-0000-0000-000028000000}"/>
    <cellStyle name="Überschrift 4 2" xfId="42" xr:uid="{00000000-0005-0000-0000-000029000000}"/>
    <cellStyle name="Überschrift 5" xfId="38" xr:uid="{00000000-0005-0000-0000-00002A000000}"/>
    <cellStyle name="Verknüpfte Zelle 2" xfId="43" xr:uid="{00000000-0005-0000-0000-00002B000000}"/>
    <cellStyle name="Warnender Text 2" xfId="44" xr:uid="{00000000-0005-0000-0000-00002C000000}"/>
    <cellStyle name="Zelle überprüfen 2" xfId="45" xr:uid="{00000000-0005-0000-0000-00002D000000}"/>
  </cellStyles>
  <dxfs count="6">
    <dxf>
      <font>
        <color auto="1"/>
      </font>
      <fill>
        <patternFill>
          <bgColor rgb="FFC6EFCE"/>
        </patternFill>
      </fill>
    </dxf>
    <dxf>
      <font>
        <color auto="1"/>
      </font>
      <fill>
        <patternFill>
          <bgColor rgb="FFFFEB9C"/>
        </patternFill>
      </fill>
    </dxf>
    <dxf>
      <fill>
        <patternFill>
          <bgColor rgb="FFFFC7CE"/>
        </patternFill>
      </fill>
    </dxf>
    <dxf>
      <font>
        <color auto="1"/>
      </font>
      <fill>
        <patternFill>
          <bgColor rgb="FFC6EFCE"/>
        </patternFill>
      </fill>
    </dxf>
    <dxf>
      <font>
        <color auto="1"/>
      </font>
      <fill>
        <patternFill>
          <bgColor rgb="FFFFEB9C"/>
        </patternFill>
      </fill>
    </dxf>
    <dxf>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0F407F"/>
      <rgbColor rgb="00CCFFCC"/>
      <rgbColor rgb="00FFFF99"/>
      <rgbColor rgb="00FFCB6D"/>
      <rgbColor rgb="00FF99CC"/>
      <rgbColor rgb="00FAA20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8DA8D"/>
      <color rgb="FF79E1A3"/>
      <color rgb="FF2AC067"/>
      <color rgb="FF06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285750</xdr:colOff>
          <xdr:row>0</xdr:row>
          <xdr:rowOff>0</xdr:rowOff>
        </xdr:from>
        <xdr:to>
          <xdr:col>9</xdr:col>
          <xdr:colOff>390525</xdr:colOff>
          <xdr:row>0</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0</xdr:rowOff>
        </xdr:from>
        <xdr:to>
          <xdr:col>9</xdr:col>
          <xdr:colOff>371475</xdr:colOff>
          <xdr:row>0</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0</xdr:row>
          <xdr:rowOff>114300</xdr:rowOff>
        </xdr:from>
        <xdr:to>
          <xdr:col>5</xdr:col>
          <xdr:colOff>228600</xdr:colOff>
          <xdr:row>0</xdr:row>
          <xdr:rowOff>419100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0</xdr:row>
          <xdr:rowOff>504825</xdr:rowOff>
        </xdr:from>
        <xdr:to>
          <xdr:col>5</xdr:col>
          <xdr:colOff>228600</xdr:colOff>
          <xdr:row>2</xdr:row>
          <xdr:rowOff>85725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0</xdr:row>
          <xdr:rowOff>114300</xdr:rowOff>
        </xdr:from>
        <xdr:to>
          <xdr:col>8</xdr:col>
          <xdr:colOff>200025</xdr:colOff>
          <xdr:row>2</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xdr:row>
          <xdr:rowOff>0</xdr:rowOff>
        </xdr:from>
        <xdr:to>
          <xdr:col>8</xdr:col>
          <xdr:colOff>209550</xdr:colOff>
          <xdr:row>3</xdr:row>
          <xdr:rowOff>114300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04_Gro&#223;PM\04_Wissenswerkstatt\20_SOS-Methode_JH\10_Vorlagen\20_Neues_CI\13_Freigegeben%20V%203.0\8_Kapitel_Risikomgt\5.2-3_Vertrags&#252;bersicht_Zahlungsplan_v2.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WINDOWS\Profiles\twaldher\Eigene%20Dateien\PM_Wissen\Risikomanagement\Risikoprofil_Beispiel_ausgef&#252;ll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Hinweise"/>
      <sheetName val="Vertragsübersicht"/>
      <sheetName val="Meilensteine-Zahlungsplan"/>
      <sheetName val="(Stammdaten)"/>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Risikoprofil_LIESMICH"/>
      <sheetName val="1-Risikoprofil_Deckblatt"/>
      <sheetName val="2-Risikoprofil_Datenblatt"/>
      <sheetName val="3-Risikoprofil_Checkliste_Light"/>
      <sheetName val="4-Risikoprofil_Checkliste_Voll"/>
      <sheetName val="9-Risikoprofil_TECHNIK"/>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O30"/>
  <sheetViews>
    <sheetView showGridLines="0" zoomScaleNormal="100" workbookViewId="0">
      <selection activeCell="B20" sqref="B20"/>
    </sheetView>
  </sheetViews>
  <sheetFormatPr baseColWidth="10" defaultColWidth="0" defaultRowHeight="15" customHeight="1" zeroHeight="1" x14ac:dyDescent="0.2"/>
  <cols>
    <col min="1" max="1" width="1.42578125" style="2" customWidth="1"/>
    <col min="2" max="2" width="129.28515625" style="3" customWidth="1"/>
    <col min="3" max="3" width="1.42578125" style="4" customWidth="1"/>
    <col min="4" max="4" width="9.140625" style="4" customWidth="1"/>
    <col min="5" max="6" width="9.140625" style="5" customWidth="1"/>
    <col min="7" max="15" width="0" style="2" hidden="1" customWidth="1"/>
    <col min="16" max="16384" width="9.140625" style="2" hidden="1"/>
  </cols>
  <sheetData>
    <row r="1" spans="1:15" ht="42.75" customHeight="1" x14ac:dyDescent="0.2"/>
    <row r="2" spans="1:15" ht="15" customHeight="1" x14ac:dyDescent="0.2">
      <c r="A2" s="6"/>
      <c r="B2" s="7"/>
      <c r="C2" s="8"/>
    </row>
    <row r="3" spans="1:15" ht="33.75" x14ac:dyDescent="0.2">
      <c r="A3" s="6"/>
      <c r="B3" s="72"/>
      <c r="C3" s="8"/>
    </row>
    <row r="4" spans="1:15" ht="33.75" x14ac:dyDescent="0.2">
      <c r="A4" s="6"/>
      <c r="B4" s="73" t="s">
        <v>0</v>
      </c>
      <c r="C4" s="9"/>
      <c r="D4" s="10"/>
      <c r="E4" s="10"/>
      <c r="F4" s="10"/>
      <c r="G4" s="10"/>
      <c r="H4" s="10"/>
      <c r="I4" s="10"/>
      <c r="J4" s="10"/>
      <c r="K4" s="10"/>
      <c r="L4" s="10"/>
      <c r="M4" s="10"/>
      <c r="N4" s="10"/>
      <c r="O4" s="10"/>
    </row>
    <row r="5" spans="1:15" ht="27" customHeight="1" x14ac:dyDescent="0.2">
      <c r="A5" s="6"/>
      <c r="B5" s="74"/>
      <c r="C5" s="9"/>
      <c r="D5" s="10"/>
      <c r="E5" s="10"/>
      <c r="F5" s="10"/>
      <c r="G5" s="10"/>
      <c r="H5" s="10"/>
      <c r="I5" s="10"/>
      <c r="J5" s="10"/>
      <c r="K5" s="10"/>
      <c r="L5" s="10"/>
      <c r="M5" s="10"/>
      <c r="N5" s="10"/>
      <c r="O5" s="10"/>
    </row>
    <row r="6" spans="1:15" ht="26.25" x14ac:dyDescent="0.2">
      <c r="A6" s="6"/>
      <c r="B6" s="11"/>
      <c r="C6" s="9"/>
      <c r="D6" s="10"/>
      <c r="E6" s="10"/>
      <c r="F6" s="10"/>
      <c r="G6" s="10"/>
      <c r="H6" s="10"/>
      <c r="I6" s="10"/>
      <c r="J6" s="10"/>
      <c r="K6" s="10"/>
      <c r="L6" s="10"/>
      <c r="M6" s="10"/>
      <c r="N6" s="10"/>
      <c r="O6" s="10"/>
    </row>
    <row r="7" spans="1:15" ht="67.5" customHeight="1" x14ac:dyDescent="0.2">
      <c r="A7" s="6"/>
      <c r="B7" s="75"/>
      <c r="C7" s="8"/>
    </row>
    <row r="8" spans="1:15" ht="15" customHeight="1" x14ac:dyDescent="0.2">
      <c r="A8" s="12"/>
      <c r="B8" s="13"/>
      <c r="C8" s="14"/>
    </row>
    <row r="9" spans="1:15" ht="21" x14ac:dyDescent="0.2">
      <c r="A9" s="12"/>
      <c r="B9" s="76" t="s">
        <v>1</v>
      </c>
      <c r="C9" s="14"/>
    </row>
    <row r="10" spans="1:15" ht="21" customHeight="1" x14ac:dyDescent="0.2">
      <c r="A10" s="12"/>
      <c r="B10" s="77" t="s">
        <v>2</v>
      </c>
      <c r="C10" s="14"/>
    </row>
    <row r="11" spans="1:15" ht="15" customHeight="1" x14ac:dyDescent="0.2">
      <c r="A11" s="12"/>
      <c r="B11" s="15"/>
      <c r="C11" s="14"/>
    </row>
    <row r="12" spans="1:15" ht="15" customHeight="1" x14ac:dyDescent="0.2">
      <c r="A12" s="12"/>
      <c r="B12" s="13"/>
      <c r="C12" s="14"/>
    </row>
    <row r="13" spans="1:15" ht="30.75" customHeight="1" x14ac:dyDescent="0.2"/>
    <row r="14" spans="1:15" ht="15" customHeight="1" x14ac:dyDescent="0.2"/>
    <row r="15" spans="1:15" ht="15" customHeight="1" x14ac:dyDescent="0.2"/>
    <row r="16" spans="1:15"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sheetData>
  <pageMargins left="0.70866141732283472" right="0.70866141732283472" top="1.4173228346456694" bottom="0.74803149606299213" header="0.19685039370078741" footer="0.19685039370078741"/>
  <pageSetup paperSize="9" orientation="landscape" r:id="rId1"/>
  <headerFooter alignWithMargins="0">
    <oddHeader>&amp;L&amp;G&amp;R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anchor moveWithCells="1" sizeWithCells="1">
                  <from>
                    <xdr:col>7</xdr:col>
                    <xdr:colOff>285750</xdr:colOff>
                    <xdr:row>0</xdr:row>
                    <xdr:rowOff>0</xdr:rowOff>
                  </from>
                  <to>
                    <xdr:col>9</xdr:col>
                    <xdr:colOff>390525</xdr:colOff>
                    <xdr:row>0</xdr:row>
                    <xdr:rowOff>0</xdr:rowOff>
                  </to>
                </anchor>
              </controlPr>
            </control>
          </mc:Choice>
        </mc:AlternateContent>
        <mc:AlternateContent xmlns:mc="http://schemas.openxmlformats.org/markup-compatibility/2006">
          <mc:Choice Requires="x14">
            <control shapeId="13314" r:id="rId6" name="Button 2">
              <controlPr defaultSize="0" print="0" autoFill="0" autoPict="0">
                <anchor moveWithCells="1" sizeWithCells="1">
                  <from>
                    <xdr:col>7</xdr:col>
                    <xdr:colOff>266700</xdr:colOff>
                    <xdr:row>0</xdr:row>
                    <xdr:rowOff>0</xdr:rowOff>
                  </from>
                  <to>
                    <xdr:col>9</xdr:col>
                    <xdr:colOff>371475</xdr:colOff>
                    <xdr:row>0</xdr:row>
                    <xdr:rowOff>0</xdr:rowOff>
                  </to>
                </anchor>
              </controlPr>
            </control>
          </mc:Choice>
        </mc:AlternateContent>
        <mc:AlternateContent xmlns:mc="http://schemas.openxmlformats.org/markup-compatibility/2006">
          <mc:Choice Requires="x14">
            <control shapeId="13315" r:id="rId7" name="Button 3">
              <controlPr defaultSize="0" print="0" autoFill="0" autoPict="0" macro="[0]!PrintAll">
                <anchor moveWithCells="1" sizeWithCells="1">
                  <from>
                    <xdr:col>3</xdr:col>
                    <xdr:colOff>123825</xdr:colOff>
                    <xdr:row>0</xdr:row>
                    <xdr:rowOff>114300</xdr:rowOff>
                  </from>
                  <to>
                    <xdr:col>5</xdr:col>
                    <xdr:colOff>228600</xdr:colOff>
                    <xdr:row>0</xdr:row>
                    <xdr:rowOff>419100</xdr:rowOff>
                  </to>
                </anchor>
              </controlPr>
            </control>
          </mc:Choice>
        </mc:AlternateContent>
        <mc:AlternateContent xmlns:mc="http://schemas.openxmlformats.org/markup-compatibility/2006">
          <mc:Choice Requires="x14">
            <control shapeId="13316" r:id="rId8" name="Button 4">
              <controlPr defaultSize="0" print="0" autoFill="0" autoPict="0" macro="[0]!PrintContent">
                <anchor moveWithCells="1" sizeWithCells="1">
                  <from>
                    <xdr:col>3</xdr:col>
                    <xdr:colOff>123825</xdr:colOff>
                    <xdr:row>0</xdr:row>
                    <xdr:rowOff>504825</xdr:rowOff>
                  </from>
                  <to>
                    <xdr:col>5</xdr:col>
                    <xdr:colOff>228600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I80"/>
  <sheetViews>
    <sheetView showGridLines="0" zoomScale="90" zoomScaleNormal="90" workbookViewId="0">
      <selection activeCell="D69" sqref="D69"/>
    </sheetView>
  </sheetViews>
  <sheetFormatPr baseColWidth="10" defaultColWidth="0" defaultRowHeight="15" zeroHeight="1" x14ac:dyDescent="0.2"/>
  <cols>
    <col min="1" max="1" width="3.28515625" style="18" customWidth="1"/>
    <col min="2" max="2" width="9.28515625" style="18" customWidth="1"/>
    <col min="3" max="3" width="26.7109375" style="18" customWidth="1"/>
    <col min="4" max="4" width="20.140625" style="18" customWidth="1"/>
    <col min="5" max="5" width="25.85546875" style="18" customWidth="1"/>
    <col min="6" max="6" width="94" style="18" customWidth="1"/>
    <col min="7" max="9" width="9.140625" style="18" customWidth="1"/>
    <col min="10" max="16384" width="9.140625" style="18" hidden="1"/>
  </cols>
  <sheetData>
    <row r="1" spans="2:6" s="1" customFormat="1" ht="18.75" customHeight="1" x14ac:dyDescent="0.2">
      <c r="B1" s="88" t="s">
        <v>3</v>
      </c>
      <c r="C1" s="89"/>
      <c r="D1" s="89"/>
      <c r="E1" s="89"/>
      <c r="F1" s="90"/>
    </row>
    <row r="2" spans="2:6" x14ac:dyDescent="0.2">
      <c r="B2" s="19" t="s">
        <v>4</v>
      </c>
      <c r="C2" s="91" t="s">
        <v>5</v>
      </c>
      <c r="D2" s="91"/>
      <c r="E2" s="91"/>
      <c r="F2" s="92"/>
    </row>
    <row r="3" spans="2:6" x14ac:dyDescent="0.2">
      <c r="B3" s="19" t="s">
        <v>4</v>
      </c>
      <c r="C3" s="91" t="s">
        <v>6</v>
      </c>
      <c r="D3" s="91"/>
      <c r="E3" s="91"/>
      <c r="F3" s="92"/>
    </row>
    <row r="4" spans="2:6" x14ac:dyDescent="0.2">
      <c r="B4" s="17" t="s">
        <v>4</v>
      </c>
      <c r="C4" s="93" t="s">
        <v>7</v>
      </c>
      <c r="D4" s="93"/>
      <c r="E4" s="93"/>
      <c r="F4" s="94"/>
    </row>
    <row r="5" spans="2:6" x14ac:dyDescent="0.2">
      <c r="B5" s="53"/>
      <c r="C5" s="54"/>
      <c r="D5" s="54"/>
      <c r="E5" s="54"/>
      <c r="F5" s="54"/>
    </row>
    <row r="6" spans="2:6" s="1" customFormat="1" x14ac:dyDescent="0.2">
      <c r="B6" s="88" t="s">
        <v>8</v>
      </c>
      <c r="C6" s="89"/>
      <c r="D6" s="89"/>
      <c r="E6" s="89"/>
      <c r="F6" s="90"/>
    </row>
    <row r="7" spans="2:6" x14ac:dyDescent="0.2">
      <c r="B7" s="19" t="s">
        <v>4</v>
      </c>
      <c r="C7" s="91" t="s">
        <v>9</v>
      </c>
      <c r="D7" s="91"/>
      <c r="E7" s="91"/>
      <c r="F7" s="92"/>
    </row>
    <row r="8" spans="2:6" x14ac:dyDescent="0.2">
      <c r="B8" s="17" t="s">
        <v>4</v>
      </c>
      <c r="C8" s="93" t="s">
        <v>10</v>
      </c>
      <c r="D8" s="93"/>
      <c r="E8" s="93"/>
      <c r="F8" s="94"/>
    </row>
    <row r="9" spans="2:6" x14ac:dyDescent="0.2">
      <c r="B9" s="20"/>
      <c r="C9" s="30"/>
      <c r="D9" s="30"/>
      <c r="E9" s="30"/>
      <c r="F9" s="30"/>
    </row>
    <row r="10" spans="2:6" s="1" customFormat="1" x14ac:dyDescent="0.2">
      <c r="B10" s="88" t="s">
        <v>11</v>
      </c>
      <c r="C10" s="89"/>
      <c r="D10" s="89"/>
      <c r="E10" s="89"/>
      <c r="F10" s="90"/>
    </row>
    <row r="11" spans="2:6" x14ac:dyDescent="0.2">
      <c r="B11" s="19" t="s">
        <v>4</v>
      </c>
      <c r="C11" s="91" t="s">
        <v>12</v>
      </c>
      <c r="D11" s="95"/>
      <c r="E11" s="95"/>
      <c r="F11" s="96"/>
    </row>
    <row r="12" spans="2:6" x14ac:dyDescent="0.2">
      <c r="B12" s="17" t="s">
        <v>4</v>
      </c>
      <c r="C12" s="93" t="s">
        <v>13</v>
      </c>
      <c r="D12" s="97"/>
      <c r="E12" s="97"/>
      <c r="F12" s="98"/>
    </row>
    <row r="13" spans="2:6" x14ac:dyDescent="0.2"/>
    <row r="14" spans="2:6" s="1" customFormat="1" x14ac:dyDescent="0.2">
      <c r="B14" s="88" t="s">
        <v>14</v>
      </c>
      <c r="C14" s="89"/>
      <c r="D14" s="89"/>
      <c r="E14" s="89"/>
      <c r="F14" s="90"/>
    </row>
    <row r="15" spans="2:6" x14ac:dyDescent="0.2">
      <c r="B15" s="19" t="s">
        <v>4</v>
      </c>
      <c r="C15" s="91" t="s">
        <v>15</v>
      </c>
      <c r="D15" s="91"/>
      <c r="E15" s="91"/>
      <c r="F15" s="92"/>
    </row>
    <row r="16" spans="2:6" x14ac:dyDescent="0.2">
      <c r="B16" s="19" t="s">
        <v>4</v>
      </c>
      <c r="C16" s="91" t="s">
        <v>16</v>
      </c>
      <c r="D16" s="91"/>
      <c r="E16" s="91"/>
      <c r="F16" s="92"/>
    </row>
    <row r="17" spans="2:6" ht="34.5" customHeight="1" x14ac:dyDescent="0.2">
      <c r="B17" s="19" t="s">
        <v>4</v>
      </c>
      <c r="C17" s="91" t="s">
        <v>17</v>
      </c>
      <c r="D17" s="91"/>
      <c r="E17" s="91"/>
      <c r="F17" s="92"/>
    </row>
    <row r="18" spans="2:6" ht="37.5" customHeight="1" x14ac:dyDescent="0.2">
      <c r="B18" s="17" t="s">
        <v>4</v>
      </c>
      <c r="C18" s="93" t="s">
        <v>18</v>
      </c>
      <c r="D18" s="93"/>
      <c r="E18" s="93"/>
      <c r="F18" s="94"/>
    </row>
    <row r="19" spans="2:6" x14ac:dyDescent="0.2"/>
    <row r="20" spans="2:6" s="1" customFormat="1" x14ac:dyDescent="0.2">
      <c r="B20" s="88" t="s">
        <v>19</v>
      </c>
      <c r="C20" s="89"/>
      <c r="D20" s="89"/>
      <c r="E20" s="89"/>
      <c r="F20" s="90"/>
    </row>
    <row r="21" spans="2:6" x14ac:dyDescent="0.2">
      <c r="B21" s="85" t="s">
        <v>20</v>
      </c>
      <c r="C21" s="84" t="s">
        <v>21</v>
      </c>
      <c r="D21" s="84" t="s">
        <v>22</v>
      </c>
      <c r="E21" s="84" t="s">
        <v>23</v>
      </c>
      <c r="F21" s="86" t="s">
        <v>24</v>
      </c>
    </row>
    <row r="22" spans="2:6" x14ac:dyDescent="0.2">
      <c r="B22" s="78" t="s">
        <v>25</v>
      </c>
      <c r="C22" s="25" t="s">
        <v>26</v>
      </c>
      <c r="D22" s="25" t="s">
        <v>27</v>
      </c>
      <c r="E22" s="25" t="s">
        <v>28</v>
      </c>
      <c r="F22" s="79" t="s">
        <v>29</v>
      </c>
    </row>
    <row r="23" spans="2:6" x14ac:dyDescent="0.2">
      <c r="B23" s="78" t="s">
        <v>30</v>
      </c>
      <c r="C23" s="25" t="s">
        <v>31</v>
      </c>
      <c r="D23" s="25" t="s">
        <v>32</v>
      </c>
      <c r="E23" s="25" t="s">
        <v>33</v>
      </c>
      <c r="F23" s="79" t="s">
        <v>34</v>
      </c>
    </row>
    <row r="24" spans="2:6" x14ac:dyDescent="0.2">
      <c r="B24" s="78" t="s">
        <v>35</v>
      </c>
      <c r="C24" s="25" t="s">
        <v>36</v>
      </c>
      <c r="D24" s="25" t="s">
        <v>32</v>
      </c>
      <c r="E24" s="25" t="s">
        <v>28</v>
      </c>
      <c r="F24" s="79" t="s">
        <v>37</v>
      </c>
    </row>
    <row r="25" spans="2:6" ht="30" x14ac:dyDescent="0.2">
      <c r="B25" s="78" t="s">
        <v>38</v>
      </c>
      <c r="C25" s="25" t="s">
        <v>39</v>
      </c>
      <c r="D25" s="25" t="s">
        <v>32</v>
      </c>
      <c r="E25" s="25" t="s">
        <v>28</v>
      </c>
      <c r="F25" s="79" t="s">
        <v>40</v>
      </c>
    </row>
    <row r="26" spans="2:6" x14ac:dyDescent="0.2">
      <c r="B26" s="80" t="s">
        <v>41</v>
      </c>
      <c r="C26" s="25" t="s">
        <v>42</v>
      </c>
      <c r="D26" s="25" t="s">
        <v>43</v>
      </c>
      <c r="E26" s="25" t="s">
        <v>28</v>
      </c>
      <c r="F26" s="79" t="s">
        <v>44</v>
      </c>
    </row>
    <row r="27" spans="2:6" ht="30" x14ac:dyDescent="0.2">
      <c r="B27" s="21" t="s">
        <v>45</v>
      </c>
      <c r="C27" s="22" t="s">
        <v>46</v>
      </c>
      <c r="D27" s="22" t="s">
        <v>32</v>
      </c>
      <c r="E27" s="22" t="s">
        <v>28</v>
      </c>
      <c r="F27" s="23" t="s">
        <v>47</v>
      </c>
    </row>
    <row r="28" spans="2:6" x14ac:dyDescent="0.2">
      <c r="B28" s="99" t="s">
        <v>48</v>
      </c>
      <c r="C28" s="100"/>
      <c r="D28" s="100"/>
      <c r="E28" s="100"/>
      <c r="F28" s="101"/>
    </row>
    <row r="29" spans="2:6" ht="150" x14ac:dyDescent="0.2">
      <c r="B29" s="81" t="s">
        <v>49</v>
      </c>
      <c r="C29" s="82" t="s">
        <v>50</v>
      </c>
      <c r="D29" s="82" t="s">
        <v>32</v>
      </c>
      <c r="E29" s="82" t="s">
        <v>33</v>
      </c>
      <c r="F29" s="83" t="s">
        <v>51</v>
      </c>
    </row>
    <row r="30" spans="2:6" ht="30" x14ac:dyDescent="0.2">
      <c r="B30" s="78" t="s">
        <v>52</v>
      </c>
      <c r="C30" s="25" t="s">
        <v>53</v>
      </c>
      <c r="D30" s="25" t="s">
        <v>54</v>
      </c>
      <c r="E30" s="25" t="s">
        <v>28</v>
      </c>
      <c r="F30" s="79" t="s">
        <v>55</v>
      </c>
    </row>
    <row r="31" spans="2:6" ht="90" x14ac:dyDescent="0.2">
      <c r="B31" s="78" t="s">
        <v>56</v>
      </c>
      <c r="C31" s="25" t="s">
        <v>57</v>
      </c>
      <c r="D31" s="25" t="s">
        <v>27</v>
      </c>
      <c r="E31" s="25" t="s">
        <v>33</v>
      </c>
      <c r="F31" s="79" t="s">
        <v>58</v>
      </c>
    </row>
    <row r="32" spans="2:6" ht="361.5" customHeight="1" x14ac:dyDescent="0.2">
      <c r="B32" s="78" t="s">
        <v>59</v>
      </c>
      <c r="C32" s="25" t="s">
        <v>60</v>
      </c>
      <c r="D32" s="25" t="s">
        <v>27</v>
      </c>
      <c r="E32" s="25" t="s">
        <v>33</v>
      </c>
      <c r="F32" s="79" t="s">
        <v>61</v>
      </c>
    </row>
    <row r="33" spans="2:6" ht="30" x14ac:dyDescent="0.2">
      <c r="B33" s="78" t="s">
        <v>62</v>
      </c>
      <c r="C33" s="25" t="s">
        <v>63</v>
      </c>
      <c r="D33" s="25" t="s">
        <v>64</v>
      </c>
      <c r="E33" s="25" t="s">
        <v>28</v>
      </c>
      <c r="F33" s="79" t="s">
        <v>65</v>
      </c>
    </row>
    <row r="34" spans="2:6" ht="45" x14ac:dyDescent="0.2">
      <c r="B34" s="78" t="s">
        <v>66</v>
      </c>
      <c r="C34" s="25" t="s">
        <v>67</v>
      </c>
      <c r="D34" s="25" t="s">
        <v>64</v>
      </c>
      <c r="E34" s="25" t="s">
        <v>68</v>
      </c>
      <c r="F34" s="79" t="s">
        <v>69</v>
      </c>
    </row>
    <row r="35" spans="2:6" ht="60" x14ac:dyDescent="0.2">
      <c r="B35" s="78" t="s">
        <v>70</v>
      </c>
      <c r="C35" s="25" t="s">
        <v>71</v>
      </c>
      <c r="D35" s="25" t="s">
        <v>72</v>
      </c>
      <c r="E35" s="25" t="s">
        <v>68</v>
      </c>
      <c r="F35" s="79" t="s">
        <v>73</v>
      </c>
    </row>
    <row r="36" spans="2:6" x14ac:dyDescent="0.2">
      <c r="B36" s="78" t="s">
        <v>74</v>
      </c>
      <c r="C36" s="25" t="s">
        <v>75</v>
      </c>
      <c r="D36" s="25" t="s">
        <v>27</v>
      </c>
      <c r="E36" s="25" t="s">
        <v>68</v>
      </c>
      <c r="F36" s="79" t="s">
        <v>76</v>
      </c>
    </row>
    <row r="37" spans="2:6" ht="30" x14ac:dyDescent="0.2">
      <c r="B37" s="21" t="s">
        <v>77</v>
      </c>
      <c r="C37" s="22" t="s">
        <v>78</v>
      </c>
      <c r="D37" s="22" t="s">
        <v>32</v>
      </c>
      <c r="E37" s="22" t="s">
        <v>28</v>
      </c>
      <c r="F37" s="23" t="s">
        <v>79</v>
      </c>
    </row>
    <row r="38" spans="2:6" x14ac:dyDescent="0.2">
      <c r="B38" s="99" t="s">
        <v>80</v>
      </c>
      <c r="C38" s="100"/>
      <c r="D38" s="100"/>
      <c r="E38" s="100"/>
      <c r="F38" s="101"/>
    </row>
    <row r="39" spans="2:6" ht="30" x14ac:dyDescent="0.2">
      <c r="B39" s="81" t="s">
        <v>81</v>
      </c>
      <c r="C39" s="82" t="s">
        <v>82</v>
      </c>
      <c r="D39" s="82" t="s">
        <v>32</v>
      </c>
      <c r="E39" s="82" t="s">
        <v>28</v>
      </c>
      <c r="F39" s="83" t="s">
        <v>83</v>
      </c>
    </row>
    <row r="40" spans="2:6" ht="30" customHeight="1" x14ac:dyDescent="0.2">
      <c r="B40" s="78" t="s">
        <v>84</v>
      </c>
      <c r="C40" s="25" t="s">
        <v>85</v>
      </c>
      <c r="D40" s="25" t="s">
        <v>32</v>
      </c>
      <c r="E40" s="25" t="s">
        <v>28</v>
      </c>
      <c r="F40" s="79" t="s">
        <v>86</v>
      </c>
    </row>
    <row r="41" spans="2:6" ht="30" x14ac:dyDescent="0.2">
      <c r="B41" s="78" t="s">
        <v>87</v>
      </c>
      <c r="C41" s="25" t="s">
        <v>88</v>
      </c>
      <c r="D41" s="25" t="s">
        <v>32</v>
      </c>
      <c r="E41" s="25" t="s">
        <v>28</v>
      </c>
      <c r="F41" s="79" t="s">
        <v>89</v>
      </c>
    </row>
    <row r="42" spans="2:6" x14ac:dyDescent="0.2">
      <c r="B42" s="78" t="s">
        <v>90</v>
      </c>
      <c r="C42" s="25" t="s">
        <v>91</v>
      </c>
      <c r="D42" s="25" t="s">
        <v>54</v>
      </c>
      <c r="E42" s="25" t="s">
        <v>28</v>
      </c>
      <c r="F42" s="79" t="s">
        <v>92</v>
      </c>
    </row>
    <row r="43" spans="2:6" ht="45" x14ac:dyDescent="0.2">
      <c r="B43" s="78" t="s">
        <v>93</v>
      </c>
      <c r="C43" s="25" t="s">
        <v>94</v>
      </c>
      <c r="D43" s="25" t="s">
        <v>32</v>
      </c>
      <c r="E43" s="25" t="s">
        <v>33</v>
      </c>
      <c r="F43" s="79" t="s">
        <v>95</v>
      </c>
    </row>
    <row r="44" spans="2:6" ht="45" x14ac:dyDescent="0.2">
      <c r="B44" s="78" t="s">
        <v>96</v>
      </c>
      <c r="C44" s="25" t="s">
        <v>97</v>
      </c>
      <c r="D44" s="25" t="s">
        <v>32</v>
      </c>
      <c r="E44" s="25" t="s">
        <v>33</v>
      </c>
      <c r="F44" s="79" t="s">
        <v>98</v>
      </c>
    </row>
    <row r="45" spans="2:6" ht="45" x14ac:dyDescent="0.2">
      <c r="B45" s="78" t="s">
        <v>99</v>
      </c>
      <c r="C45" s="25" t="s">
        <v>100</v>
      </c>
      <c r="D45" s="25" t="s">
        <v>32</v>
      </c>
      <c r="E45" s="25" t="s">
        <v>33</v>
      </c>
      <c r="F45" s="79" t="s">
        <v>101</v>
      </c>
    </row>
    <row r="46" spans="2:6" ht="60" x14ac:dyDescent="0.2">
      <c r="B46" s="78" t="s">
        <v>102</v>
      </c>
      <c r="C46" s="25" t="s">
        <v>103</v>
      </c>
      <c r="D46" s="25" t="s">
        <v>32</v>
      </c>
      <c r="E46" s="25" t="s">
        <v>33</v>
      </c>
      <c r="F46" s="79" t="s">
        <v>104</v>
      </c>
    </row>
    <row r="47" spans="2:6" x14ac:dyDescent="0.2">
      <c r="B47" s="21" t="s">
        <v>105</v>
      </c>
      <c r="C47" s="22" t="s">
        <v>106</v>
      </c>
      <c r="D47" s="22" t="s">
        <v>54</v>
      </c>
      <c r="E47" s="22" t="s">
        <v>28</v>
      </c>
      <c r="F47" s="23" t="s">
        <v>107</v>
      </c>
    </row>
    <row r="48" spans="2:6" x14ac:dyDescent="0.2">
      <c r="B48" s="99" t="s">
        <v>108</v>
      </c>
      <c r="C48" s="100"/>
      <c r="D48" s="100"/>
      <c r="E48" s="100"/>
      <c r="F48" s="101"/>
    </row>
    <row r="49" spans="2:6" ht="150" x14ac:dyDescent="0.2">
      <c r="B49" s="81" t="s">
        <v>109</v>
      </c>
      <c r="C49" s="82" t="s">
        <v>50</v>
      </c>
      <c r="D49" s="82" t="s">
        <v>32</v>
      </c>
      <c r="E49" s="82" t="s">
        <v>33</v>
      </c>
      <c r="F49" s="83" t="s">
        <v>51</v>
      </c>
    </row>
    <row r="50" spans="2:6" ht="30" x14ac:dyDescent="0.2">
      <c r="B50" s="78" t="s">
        <v>110</v>
      </c>
      <c r="C50" s="25" t="s">
        <v>53</v>
      </c>
      <c r="D50" s="25" t="s">
        <v>54</v>
      </c>
      <c r="E50" s="25" t="s">
        <v>28</v>
      </c>
      <c r="F50" s="79" t="s">
        <v>55</v>
      </c>
    </row>
    <row r="51" spans="2:6" ht="90" x14ac:dyDescent="0.2">
      <c r="B51" s="78" t="s">
        <v>111</v>
      </c>
      <c r="C51" s="25" t="s">
        <v>57</v>
      </c>
      <c r="D51" s="25" t="s">
        <v>27</v>
      </c>
      <c r="E51" s="25" t="s">
        <v>33</v>
      </c>
      <c r="F51" s="79" t="s">
        <v>58</v>
      </c>
    </row>
    <row r="52" spans="2:6" ht="359.25" customHeight="1" x14ac:dyDescent="0.2">
      <c r="B52" s="78" t="s">
        <v>112</v>
      </c>
      <c r="C52" s="25" t="s">
        <v>60</v>
      </c>
      <c r="D52" s="25" t="s">
        <v>27</v>
      </c>
      <c r="E52" s="25" t="s">
        <v>33</v>
      </c>
      <c r="F52" s="79" t="s">
        <v>113</v>
      </c>
    </row>
    <row r="53" spans="2:6" ht="30" x14ac:dyDescent="0.2">
      <c r="B53" s="78" t="s">
        <v>114</v>
      </c>
      <c r="C53" s="25" t="s">
        <v>63</v>
      </c>
      <c r="D53" s="25" t="s">
        <v>64</v>
      </c>
      <c r="E53" s="25" t="s">
        <v>28</v>
      </c>
      <c r="F53" s="79" t="s">
        <v>65</v>
      </c>
    </row>
    <row r="54" spans="2:6" ht="45" x14ac:dyDescent="0.2">
      <c r="B54" s="78" t="s">
        <v>115</v>
      </c>
      <c r="C54" s="25" t="s">
        <v>67</v>
      </c>
      <c r="D54" s="25" t="s">
        <v>64</v>
      </c>
      <c r="E54" s="25" t="s">
        <v>68</v>
      </c>
      <c r="F54" s="79" t="s">
        <v>116</v>
      </c>
    </row>
    <row r="55" spans="2:6" ht="60" x14ac:dyDescent="0.2">
      <c r="B55" s="78" t="s">
        <v>117</v>
      </c>
      <c r="C55" s="25" t="s">
        <v>71</v>
      </c>
      <c r="D55" s="25" t="s">
        <v>72</v>
      </c>
      <c r="E55" s="25" t="s">
        <v>68</v>
      </c>
      <c r="F55" s="79" t="s">
        <v>73</v>
      </c>
    </row>
    <row r="56" spans="2:6" x14ac:dyDescent="0.2">
      <c r="B56" s="78" t="s">
        <v>118</v>
      </c>
      <c r="C56" s="25" t="s">
        <v>75</v>
      </c>
      <c r="D56" s="25" t="s">
        <v>27</v>
      </c>
      <c r="E56" s="25" t="s">
        <v>68</v>
      </c>
      <c r="F56" s="79" t="s">
        <v>119</v>
      </c>
    </row>
    <row r="57" spans="2:6" ht="30" x14ac:dyDescent="0.2">
      <c r="B57" s="21" t="s">
        <v>120</v>
      </c>
      <c r="C57" s="22" t="s">
        <v>78</v>
      </c>
      <c r="D57" s="22" t="s">
        <v>32</v>
      </c>
      <c r="E57" s="22" t="s">
        <v>28</v>
      </c>
      <c r="F57" s="23" t="s">
        <v>79</v>
      </c>
    </row>
    <row r="58" spans="2:6" x14ac:dyDescent="0.2">
      <c r="B58" s="24"/>
      <c r="C58" s="25"/>
      <c r="D58" s="25"/>
      <c r="E58" s="25"/>
      <c r="F58" s="25"/>
    </row>
    <row r="59" spans="2:6" x14ac:dyDescent="0.2">
      <c r="B59" s="88" t="s">
        <v>121</v>
      </c>
      <c r="C59" s="89"/>
      <c r="D59" s="89"/>
      <c r="E59" s="89"/>
      <c r="F59" s="90"/>
    </row>
    <row r="60" spans="2:6" x14ac:dyDescent="0.2">
      <c r="B60" s="85" t="s">
        <v>122</v>
      </c>
      <c r="C60" s="84" t="s">
        <v>21</v>
      </c>
      <c r="D60" s="84" t="s">
        <v>22</v>
      </c>
      <c r="E60" s="84" t="s">
        <v>23</v>
      </c>
      <c r="F60" s="86" t="s">
        <v>24</v>
      </c>
    </row>
    <row r="61" spans="2:6" x14ac:dyDescent="0.2">
      <c r="B61" s="78" t="s">
        <v>25</v>
      </c>
      <c r="C61" s="25" t="s">
        <v>60</v>
      </c>
      <c r="D61" s="25" t="s">
        <v>32</v>
      </c>
      <c r="E61" s="25" t="s">
        <v>68</v>
      </c>
      <c r="F61" s="79" t="s">
        <v>123</v>
      </c>
    </row>
    <row r="62" spans="2:6" x14ac:dyDescent="0.2">
      <c r="B62" s="78" t="s">
        <v>30</v>
      </c>
      <c r="C62" s="25" t="s">
        <v>60</v>
      </c>
      <c r="D62" s="25" t="s">
        <v>27</v>
      </c>
      <c r="E62" s="25" t="s">
        <v>68</v>
      </c>
      <c r="F62" s="79" t="s">
        <v>124</v>
      </c>
    </row>
    <row r="63" spans="2:6" ht="30" x14ac:dyDescent="0.2">
      <c r="B63" s="78" t="s">
        <v>125</v>
      </c>
      <c r="C63" s="25" t="s">
        <v>126</v>
      </c>
      <c r="D63" s="25" t="s">
        <v>127</v>
      </c>
      <c r="E63" s="25" t="s">
        <v>68</v>
      </c>
      <c r="F63" s="79" t="s">
        <v>128</v>
      </c>
    </row>
    <row r="64" spans="2:6" x14ac:dyDescent="0.2">
      <c r="B64" s="21">
        <v>8</v>
      </c>
      <c r="C64" s="22" t="s">
        <v>57</v>
      </c>
      <c r="D64" s="22" t="s">
        <v>32</v>
      </c>
      <c r="E64" s="22" t="s">
        <v>68</v>
      </c>
      <c r="F64" s="23" t="s">
        <v>129</v>
      </c>
    </row>
    <row r="65" spans="2:6" x14ac:dyDescent="0.2">
      <c r="B65" s="25"/>
      <c r="C65" s="25"/>
      <c r="D65" s="25"/>
      <c r="E65" s="25"/>
      <c r="F65" s="25"/>
    </row>
    <row r="66" spans="2:6" x14ac:dyDescent="0.2">
      <c r="B66" s="25"/>
      <c r="C66" s="25"/>
      <c r="D66" s="25"/>
      <c r="E66" s="25"/>
      <c r="F66" s="25"/>
    </row>
    <row r="67" spans="2:6" x14ac:dyDescent="0.2">
      <c r="B67" s="25"/>
      <c r="C67" s="25"/>
      <c r="D67" s="25"/>
      <c r="E67" s="25"/>
      <c r="F67" s="25"/>
    </row>
    <row r="68" spans="2:6" x14ac:dyDescent="0.2">
      <c r="B68" s="25"/>
      <c r="C68" s="25"/>
      <c r="D68" s="25"/>
      <c r="E68" s="25"/>
      <c r="F68" s="25"/>
    </row>
    <row r="69" spans="2:6" x14ac:dyDescent="0.2">
      <c r="B69" s="25"/>
      <c r="C69" s="25"/>
      <c r="D69" s="25"/>
      <c r="E69" s="25"/>
      <c r="F69" s="25"/>
    </row>
    <row r="70" spans="2:6" x14ac:dyDescent="0.2">
      <c r="B70" s="25"/>
      <c r="C70" s="25"/>
      <c r="D70" s="25"/>
      <c r="E70" s="25"/>
      <c r="F70" s="25"/>
    </row>
    <row r="71" spans="2:6" x14ac:dyDescent="0.2">
      <c r="B71" s="25"/>
      <c r="C71" s="25"/>
      <c r="D71" s="25"/>
      <c r="E71" s="25"/>
      <c r="F71" s="25"/>
    </row>
    <row r="72" spans="2:6" x14ac:dyDescent="0.2"/>
    <row r="73" spans="2:6" x14ac:dyDescent="0.2"/>
    <row r="74" spans="2:6" x14ac:dyDescent="0.2"/>
    <row r="75" spans="2:6" x14ac:dyDescent="0.2"/>
    <row r="76" spans="2:6" x14ac:dyDescent="0.2"/>
    <row r="77" spans="2:6" x14ac:dyDescent="0.2"/>
    <row r="78" spans="2:6" x14ac:dyDescent="0.2"/>
    <row r="79" spans="2:6" x14ac:dyDescent="0.2"/>
    <row r="80" spans="2:6" x14ac:dyDescent="0.2"/>
  </sheetData>
  <mergeCells count="20">
    <mergeCell ref="B59:F59"/>
    <mergeCell ref="B28:F28"/>
    <mergeCell ref="B38:F38"/>
    <mergeCell ref="B48:F48"/>
    <mergeCell ref="B1:F1"/>
    <mergeCell ref="B6:F6"/>
    <mergeCell ref="B10:F10"/>
    <mergeCell ref="B14:F14"/>
    <mergeCell ref="B20:F20"/>
    <mergeCell ref="C2:F2"/>
    <mergeCell ref="C3:F3"/>
    <mergeCell ref="C15:F15"/>
    <mergeCell ref="C18:F18"/>
    <mergeCell ref="C4:F4"/>
    <mergeCell ref="C7:F7"/>
    <mergeCell ref="C8:F8"/>
    <mergeCell ref="C11:F11"/>
    <mergeCell ref="C12:F12"/>
    <mergeCell ref="C16:F16"/>
    <mergeCell ref="C17:F17"/>
  </mergeCells>
  <phoneticPr fontId="1" type="noConversion"/>
  <pageMargins left="0.70866141732283472" right="0.70866141732283472" top="0.74803149606299213" bottom="1.1811023622047245" header="0.19685039370078741" footer="0.19685039370078741"/>
  <pageSetup paperSize="9" scale="48" orientation="portrait" r:id="rId1"/>
  <headerFooter alignWithMargins="0">
    <oddHeader>&amp;L&amp;G&amp;R
&amp;G</oddHeader>
    <oddFooter xml:space="preserve">&amp;L&amp;G&amp;R&amp;"-,Fett"&amp;8Bundesverwaltungsamt&amp;"-,Standard" – Der zentrale Dienstleister des Bundes | &amp;D | Seite &amp;P
</oddFooter>
  </headerFooter>
  <rowBreaks count="1" manualBreakCount="1">
    <brk id="3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PrintAll">
                <anchor moveWithCells="1">
                  <from>
                    <xdr:col>6</xdr:col>
                    <xdr:colOff>95250</xdr:colOff>
                    <xdr:row>0</xdr:row>
                    <xdr:rowOff>114300</xdr:rowOff>
                  </from>
                  <to>
                    <xdr:col>8</xdr:col>
                    <xdr:colOff>200025</xdr:colOff>
                    <xdr:row>2</xdr:row>
                    <xdr:rowOff>9525</xdr:rowOff>
                  </to>
                </anchor>
              </controlPr>
            </control>
          </mc:Choice>
        </mc:AlternateContent>
        <mc:AlternateContent xmlns:mc="http://schemas.openxmlformats.org/markup-compatibility/2006">
          <mc:Choice Requires="x14">
            <control shapeId="14340" r:id="rId6" name="Button 4">
              <controlPr defaultSize="0" print="0" autoFill="0" autoPict="0" macro="[0]!PrintContent">
                <anchor moveWithCells="1">
                  <from>
                    <xdr:col>6</xdr:col>
                    <xdr:colOff>104775</xdr:colOff>
                    <xdr:row>2</xdr:row>
                    <xdr:rowOff>0</xdr:rowOff>
                  </from>
                  <to>
                    <xdr:col>8</xdr:col>
                    <xdr:colOff>209550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pageSetUpPr fitToPage="1"/>
  </sheetPr>
  <dimension ref="A1:AI30"/>
  <sheetViews>
    <sheetView showGridLines="0" tabSelected="1" zoomScale="115" zoomScaleNormal="115" workbookViewId="0">
      <pane xSplit="3" ySplit="2" topLeftCell="D3" activePane="bottomRight" state="frozen"/>
      <selection pane="topRight" activeCell="D1" sqref="D1"/>
      <selection pane="bottomLeft" activeCell="A3" sqref="A3"/>
      <selection pane="bottomRight" activeCell="A15" sqref="A15"/>
    </sheetView>
  </sheetViews>
  <sheetFormatPr baseColWidth="10" defaultColWidth="0" defaultRowHeight="15" zeroHeight="1" x14ac:dyDescent="0.25"/>
  <cols>
    <col min="1" max="1" width="5.85546875" style="31" customWidth="1"/>
    <col min="2" max="2" width="33.85546875" style="31" customWidth="1"/>
    <col min="3" max="3" width="17.28515625" style="31" customWidth="1"/>
    <col min="4" max="4" width="25.5703125" style="31" customWidth="1"/>
    <col min="5" max="5" width="13.28515625" style="31" bestFit="1" customWidth="1"/>
    <col min="6" max="6" width="13.5703125" style="31" customWidth="1"/>
    <col min="7" max="7" width="11.42578125" style="31" hidden="1" customWidth="1"/>
    <col min="8" max="8" width="14.42578125" style="31" bestFit="1" customWidth="1"/>
    <col min="9" max="9" width="19" style="31" hidden="1" customWidth="1"/>
    <col min="10" max="10" width="21.5703125" style="31" bestFit="1" customWidth="1"/>
    <col min="11" max="11" width="19.85546875" style="31" customWidth="1"/>
    <col min="12" max="12" width="26.5703125" style="31" bestFit="1" customWidth="1"/>
    <col min="13" max="13" width="12" style="31" hidden="1" customWidth="1"/>
    <col min="14" max="14" width="13.85546875" style="31" customWidth="1"/>
    <col min="15" max="15" width="16.140625" style="31" hidden="1" customWidth="1"/>
    <col min="16" max="16" width="32.42578125" style="31" customWidth="1"/>
    <col min="17" max="17" width="24.5703125" style="31" hidden="1" customWidth="1"/>
    <col min="18" max="19" width="20.140625" style="31" hidden="1" customWidth="1"/>
    <col min="20" max="24" width="15.28515625" style="31" hidden="1" customWidth="1"/>
    <col min="25" max="25" width="19.42578125" style="31" hidden="1" customWidth="1"/>
    <col min="26" max="26" width="12.140625" style="31" hidden="1" customWidth="1"/>
    <col min="27" max="27" width="16.42578125" style="31" hidden="1" customWidth="1"/>
    <col min="28" max="28" width="14.28515625" style="31" hidden="1" customWidth="1"/>
    <col min="29" max="29" width="11.42578125" style="31" hidden="1" customWidth="1"/>
    <col min="30" max="30" width="11.140625" style="31" hidden="1" customWidth="1"/>
    <col min="31" max="31" width="10.85546875" style="31" hidden="1" customWidth="1"/>
    <col min="32" max="32" width="12.140625" style="31" hidden="1" customWidth="1"/>
    <col min="33" max="33" width="9.85546875" style="31" hidden="1" customWidth="1"/>
    <col min="34" max="34" width="17.140625" style="31" hidden="1" customWidth="1"/>
    <col min="35" max="35" width="11.42578125" style="31" customWidth="1"/>
    <col min="36" max="16384" width="11.42578125" style="31" hidden="1"/>
  </cols>
  <sheetData>
    <row r="1" spans="1:34" ht="15.75" x14ac:dyDescent="0.25">
      <c r="A1" s="102" t="s">
        <v>130</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row>
    <row r="2" spans="1:34" x14ac:dyDescent="0.25">
      <c r="A2" s="104" t="s">
        <v>131</v>
      </c>
      <c r="B2" s="105"/>
      <c r="C2" s="105"/>
      <c r="D2" s="105"/>
      <c r="E2" s="105"/>
      <c r="F2" s="105"/>
      <c r="G2" s="105"/>
      <c r="H2" s="106" t="s">
        <v>132</v>
      </c>
      <c r="I2" s="106"/>
      <c r="J2" s="106"/>
      <c r="K2" s="106"/>
      <c r="L2" s="106"/>
      <c r="M2" s="106"/>
      <c r="N2" s="106"/>
      <c r="O2" s="106"/>
      <c r="P2" s="106"/>
      <c r="Q2" s="107" t="s">
        <v>80</v>
      </c>
      <c r="R2" s="108"/>
      <c r="S2" s="108"/>
      <c r="T2" s="108"/>
      <c r="U2" s="108"/>
      <c r="V2" s="108"/>
      <c r="W2" s="108"/>
      <c r="X2" s="108"/>
      <c r="Y2" s="109"/>
      <c r="Z2" s="110" t="s">
        <v>133</v>
      </c>
      <c r="AA2" s="111"/>
      <c r="AB2" s="111"/>
      <c r="AC2" s="111"/>
      <c r="AD2" s="111"/>
      <c r="AE2" s="111"/>
      <c r="AF2" s="111"/>
      <c r="AG2" s="111"/>
      <c r="AH2" s="112"/>
    </row>
    <row r="3" spans="1:34" s="55" customFormat="1" ht="49.5" customHeight="1" x14ac:dyDescent="0.2">
      <c r="A3" s="56" t="s">
        <v>26</v>
      </c>
      <c r="B3" s="57" t="s">
        <v>134</v>
      </c>
      <c r="C3" s="57" t="s">
        <v>135</v>
      </c>
      <c r="D3" s="57" t="s">
        <v>39</v>
      </c>
      <c r="E3" s="57" t="s">
        <v>136</v>
      </c>
      <c r="F3" s="57" t="s">
        <v>137</v>
      </c>
      <c r="G3" s="57" t="s">
        <v>46</v>
      </c>
      <c r="H3" s="58" t="s">
        <v>50</v>
      </c>
      <c r="I3" s="58" t="s">
        <v>53</v>
      </c>
      <c r="J3" s="58" t="s">
        <v>138</v>
      </c>
      <c r="K3" s="58" t="s">
        <v>60</v>
      </c>
      <c r="L3" s="58" t="s">
        <v>63</v>
      </c>
      <c r="M3" s="58" t="s">
        <v>139</v>
      </c>
      <c r="N3" s="58" t="s">
        <v>71</v>
      </c>
      <c r="O3" s="58" t="s">
        <v>75</v>
      </c>
      <c r="P3" s="58" t="s">
        <v>140</v>
      </c>
      <c r="Q3" s="67" t="s">
        <v>82</v>
      </c>
      <c r="R3" s="59" t="s">
        <v>141</v>
      </c>
      <c r="S3" s="59" t="s">
        <v>142</v>
      </c>
      <c r="T3" s="59" t="s">
        <v>143</v>
      </c>
      <c r="U3" s="59" t="s">
        <v>94</v>
      </c>
      <c r="V3" s="59" t="s">
        <v>97</v>
      </c>
      <c r="W3" s="59" t="s">
        <v>100</v>
      </c>
      <c r="X3" s="59" t="s">
        <v>144</v>
      </c>
      <c r="Y3" s="60" t="s">
        <v>106</v>
      </c>
      <c r="Z3" s="67" t="s">
        <v>50</v>
      </c>
      <c r="AA3" s="59" t="s">
        <v>53</v>
      </c>
      <c r="AB3" s="59" t="s">
        <v>138</v>
      </c>
      <c r="AC3" s="59" t="s">
        <v>60</v>
      </c>
      <c r="AD3" s="59" t="s">
        <v>63</v>
      </c>
      <c r="AE3" s="59" t="s">
        <v>139</v>
      </c>
      <c r="AF3" s="59" t="s">
        <v>71</v>
      </c>
      <c r="AG3" s="59" t="s">
        <v>75</v>
      </c>
      <c r="AH3" s="60" t="s">
        <v>145</v>
      </c>
    </row>
    <row r="4" spans="1:34" s="61" customFormat="1" ht="25.9" customHeight="1" x14ac:dyDescent="0.2">
      <c r="A4" s="62">
        <v>1</v>
      </c>
      <c r="B4" s="63" t="s">
        <v>146</v>
      </c>
      <c r="C4" s="63" t="s">
        <v>186</v>
      </c>
      <c r="D4" s="87" t="s">
        <v>187</v>
      </c>
      <c r="E4" s="66">
        <v>45967</v>
      </c>
      <c r="F4" s="63" t="s">
        <v>179</v>
      </c>
      <c r="G4" s="63"/>
      <c r="H4" s="62" t="s">
        <v>147</v>
      </c>
      <c r="I4" s="66"/>
      <c r="J4" s="64">
        <v>0.3</v>
      </c>
      <c r="K4" s="63">
        <v>4</v>
      </c>
      <c r="L4" s="63"/>
      <c r="M4" s="65"/>
      <c r="N4" s="65"/>
      <c r="O4" s="65">
        <f t="shared" ref="O4:O9" si="0">IF(H4="aktiv",IF(OR(ISBLANK(K4),ISBLANK(J4)),"",5*(5*J4-0.5)+K4),"")</f>
        <v>9</v>
      </c>
      <c r="P4" s="63"/>
      <c r="Q4" s="68"/>
      <c r="R4" s="63"/>
      <c r="S4" s="63"/>
      <c r="T4" s="66" t="s">
        <v>148</v>
      </c>
      <c r="U4" s="63"/>
      <c r="V4" s="63"/>
      <c r="W4" s="63"/>
      <c r="X4" s="63"/>
      <c r="Y4" s="69" t="s">
        <v>148</v>
      </c>
      <c r="Z4" s="62"/>
      <c r="AA4" s="66" t="s">
        <v>148</v>
      </c>
      <c r="AB4" s="64"/>
      <c r="AC4" s="63"/>
      <c r="AD4" s="70">
        <v>0</v>
      </c>
      <c r="AE4" s="71" t="str">
        <f t="shared" ref="AE4:AE9" si="1">IF(AB4&gt;0,IF(AD4&gt;0,AD4*AB4,""),"")</f>
        <v/>
      </c>
      <c r="AF4" s="65" t="str">
        <f t="shared" ref="AF4:AF9" si="2">IF(Z4="aktiv",IF(OR(ISBLANK(AC4),ISBLANK(AB4)),"",IF(5*AB4+0.5+AC4&lt;=5,"C",IF(5*AB4+0.5+AC4&lt;=7,"B","A"))),"")</f>
        <v/>
      </c>
      <c r="AG4" s="65" t="str">
        <f t="shared" ref="AG4:AG9" si="3">IF(Z4="aktiv",IF(OR(ISBLANK(AC4),ISBLANK(AB4)),"",5*(5*AB4-0.5)+AC4),"")</f>
        <v/>
      </c>
      <c r="AH4" s="69"/>
    </row>
    <row r="5" spans="1:34" s="61" customFormat="1" ht="25.5" x14ac:dyDescent="0.2">
      <c r="A5" s="62">
        <v>2</v>
      </c>
      <c r="B5" s="63" t="s">
        <v>146</v>
      </c>
      <c r="C5" s="63" t="s">
        <v>188</v>
      </c>
      <c r="D5" s="87" t="s">
        <v>189</v>
      </c>
      <c r="E5" s="66">
        <v>45967</v>
      </c>
      <c r="F5" s="63" t="s">
        <v>179</v>
      </c>
      <c r="G5" s="63"/>
      <c r="H5" s="62" t="s">
        <v>147</v>
      </c>
      <c r="I5" s="66"/>
      <c r="J5" s="64">
        <v>0.1</v>
      </c>
      <c r="K5" s="63">
        <v>3</v>
      </c>
      <c r="L5" s="63"/>
      <c r="M5" s="65"/>
      <c r="N5" s="65"/>
      <c r="O5" s="65">
        <f t="shared" si="0"/>
        <v>3</v>
      </c>
      <c r="P5" s="63"/>
      <c r="Q5" s="62"/>
      <c r="R5" s="63"/>
      <c r="S5" s="63"/>
      <c r="T5" s="66" t="s">
        <v>148</v>
      </c>
      <c r="U5" s="63"/>
      <c r="V5" s="63"/>
      <c r="W5" s="63"/>
      <c r="X5" s="63"/>
      <c r="Y5" s="69" t="s">
        <v>148</v>
      </c>
      <c r="Z5" s="62"/>
      <c r="AA5" s="66" t="s">
        <v>148</v>
      </c>
      <c r="AB5" s="64"/>
      <c r="AC5" s="63"/>
      <c r="AD5" s="70">
        <v>0</v>
      </c>
      <c r="AE5" s="71" t="str">
        <f t="shared" si="1"/>
        <v/>
      </c>
      <c r="AF5" s="65" t="str">
        <f t="shared" si="2"/>
        <v/>
      </c>
      <c r="AG5" s="65" t="str">
        <f t="shared" si="3"/>
        <v/>
      </c>
      <c r="AH5" s="69"/>
    </row>
    <row r="6" spans="1:34" s="61" customFormat="1" ht="12.75" x14ac:dyDescent="0.2">
      <c r="A6" s="62">
        <v>3</v>
      </c>
      <c r="B6" s="63" t="s">
        <v>173</v>
      </c>
      <c r="C6" s="63" t="s">
        <v>190</v>
      </c>
      <c r="D6" s="87" t="s">
        <v>191</v>
      </c>
      <c r="E6" s="66">
        <v>45967</v>
      </c>
      <c r="F6" s="63" t="s">
        <v>179</v>
      </c>
      <c r="G6" s="63"/>
      <c r="H6" s="62" t="s">
        <v>147</v>
      </c>
      <c r="I6" s="66"/>
      <c r="J6" s="64">
        <v>0.1</v>
      </c>
      <c r="K6" s="63">
        <v>5</v>
      </c>
      <c r="L6" s="63"/>
      <c r="M6" s="65"/>
      <c r="N6" s="65"/>
      <c r="O6" s="65">
        <f t="shared" si="0"/>
        <v>5</v>
      </c>
      <c r="P6" s="63"/>
      <c r="Q6" s="62"/>
      <c r="R6" s="63"/>
      <c r="S6" s="63"/>
      <c r="T6" s="66" t="s">
        <v>148</v>
      </c>
      <c r="U6" s="63"/>
      <c r="V6" s="63"/>
      <c r="W6" s="63"/>
      <c r="X6" s="63"/>
      <c r="Y6" s="69" t="s">
        <v>148</v>
      </c>
      <c r="Z6" s="62"/>
      <c r="AA6" s="66" t="s">
        <v>148</v>
      </c>
      <c r="AB6" s="64"/>
      <c r="AC6" s="63"/>
      <c r="AD6" s="70">
        <v>0</v>
      </c>
      <c r="AE6" s="71" t="str">
        <f t="shared" si="1"/>
        <v/>
      </c>
      <c r="AF6" s="65" t="str">
        <f t="shared" si="2"/>
        <v/>
      </c>
      <c r="AG6" s="65" t="str">
        <f t="shared" si="3"/>
        <v/>
      </c>
      <c r="AH6" s="69"/>
    </row>
    <row r="7" spans="1:34" s="61" customFormat="1" ht="25.5" x14ac:dyDescent="0.2">
      <c r="A7" s="62">
        <v>4</v>
      </c>
      <c r="B7" s="63" t="s">
        <v>146</v>
      </c>
      <c r="C7" s="63" t="s">
        <v>192</v>
      </c>
      <c r="D7" s="87" t="s">
        <v>193</v>
      </c>
      <c r="E7" s="66">
        <v>45967</v>
      </c>
      <c r="F7" s="63" t="s">
        <v>179</v>
      </c>
      <c r="G7" s="63"/>
      <c r="H7" s="62" t="s">
        <v>147</v>
      </c>
      <c r="I7" s="66"/>
      <c r="J7" s="64">
        <v>0.5</v>
      </c>
      <c r="K7" s="63">
        <v>2</v>
      </c>
      <c r="L7" s="63"/>
      <c r="M7" s="65"/>
      <c r="N7" s="65"/>
      <c r="O7" s="65">
        <f t="shared" si="0"/>
        <v>12</v>
      </c>
      <c r="P7" s="63"/>
      <c r="Q7" s="62"/>
      <c r="R7" s="63"/>
      <c r="S7" s="63"/>
      <c r="T7" s="66" t="s">
        <v>148</v>
      </c>
      <c r="U7" s="63"/>
      <c r="V7" s="63"/>
      <c r="W7" s="63"/>
      <c r="X7" s="63"/>
      <c r="Y7" s="69" t="s">
        <v>148</v>
      </c>
      <c r="Z7" s="62"/>
      <c r="AA7" s="66" t="s">
        <v>148</v>
      </c>
      <c r="AB7" s="64"/>
      <c r="AC7" s="63"/>
      <c r="AD7" s="70">
        <v>0</v>
      </c>
      <c r="AE7" s="71" t="str">
        <f t="shared" si="1"/>
        <v/>
      </c>
      <c r="AF7" s="65" t="str">
        <f t="shared" si="2"/>
        <v/>
      </c>
      <c r="AG7" s="65" t="str">
        <f t="shared" si="3"/>
        <v/>
      </c>
      <c r="AH7" s="69"/>
    </row>
    <row r="8" spans="1:34" s="61" customFormat="1" ht="12.75" x14ac:dyDescent="0.2">
      <c r="A8" s="62">
        <v>5</v>
      </c>
      <c r="B8" s="63" t="s">
        <v>146</v>
      </c>
      <c r="C8" s="63" t="s">
        <v>180</v>
      </c>
      <c r="D8" s="87" t="s">
        <v>181</v>
      </c>
      <c r="E8" s="66">
        <v>45967</v>
      </c>
      <c r="F8" s="63" t="s">
        <v>194</v>
      </c>
      <c r="G8" s="63"/>
      <c r="H8" s="62" t="s">
        <v>147</v>
      </c>
      <c r="I8" s="66"/>
      <c r="J8" s="64">
        <v>0.5</v>
      </c>
      <c r="K8" s="63">
        <v>4</v>
      </c>
      <c r="L8" s="63"/>
      <c r="M8" s="65"/>
      <c r="N8" s="65"/>
      <c r="O8" s="65">
        <f t="shared" si="0"/>
        <v>14</v>
      </c>
      <c r="P8" s="63"/>
      <c r="Q8" s="62"/>
      <c r="R8" s="63"/>
      <c r="S8" s="63"/>
      <c r="T8" s="66" t="s">
        <v>148</v>
      </c>
      <c r="U8" s="63"/>
      <c r="V8" s="63"/>
      <c r="W8" s="63"/>
      <c r="X8" s="63"/>
      <c r="Y8" s="69" t="s">
        <v>148</v>
      </c>
      <c r="Z8" s="62"/>
      <c r="AA8" s="66" t="s">
        <v>148</v>
      </c>
      <c r="AB8" s="64"/>
      <c r="AC8" s="63"/>
      <c r="AD8" s="70">
        <v>0</v>
      </c>
      <c r="AE8" s="71" t="str">
        <f t="shared" si="1"/>
        <v/>
      </c>
      <c r="AF8" s="65" t="str">
        <f t="shared" si="2"/>
        <v/>
      </c>
      <c r="AG8" s="65" t="str">
        <f t="shared" si="3"/>
        <v/>
      </c>
      <c r="AH8" s="69"/>
    </row>
    <row r="9" spans="1:34" s="61" customFormat="1" ht="25.5" x14ac:dyDescent="0.2">
      <c r="A9" s="62">
        <v>6</v>
      </c>
      <c r="B9" s="63" t="s">
        <v>146</v>
      </c>
      <c r="C9" s="63" t="s">
        <v>182</v>
      </c>
      <c r="D9" s="87" t="s">
        <v>183</v>
      </c>
      <c r="E9" s="66">
        <v>45967</v>
      </c>
      <c r="F9" s="63" t="s">
        <v>194</v>
      </c>
      <c r="G9" s="63"/>
      <c r="H9" s="62" t="s">
        <v>147</v>
      </c>
      <c r="I9" s="66"/>
      <c r="J9" s="64">
        <v>0.3</v>
      </c>
      <c r="K9" s="63">
        <v>3</v>
      </c>
      <c r="L9" s="63"/>
      <c r="M9" s="65"/>
      <c r="N9" s="65"/>
      <c r="O9" s="65">
        <f t="shared" si="0"/>
        <v>8</v>
      </c>
      <c r="P9" s="63"/>
      <c r="Q9" s="62"/>
      <c r="R9" s="63"/>
      <c r="S9" s="63"/>
      <c r="T9" s="66" t="s">
        <v>148</v>
      </c>
      <c r="U9" s="63"/>
      <c r="V9" s="63"/>
      <c r="W9" s="63"/>
      <c r="X9" s="63"/>
      <c r="Y9" s="69" t="s">
        <v>148</v>
      </c>
      <c r="Z9" s="62"/>
      <c r="AA9" s="66" t="s">
        <v>148</v>
      </c>
      <c r="AB9" s="64"/>
      <c r="AC9" s="63"/>
      <c r="AD9" s="70">
        <v>0</v>
      </c>
      <c r="AE9" s="71" t="str">
        <f t="shared" si="1"/>
        <v/>
      </c>
      <c r="AF9" s="65" t="str">
        <f t="shared" si="2"/>
        <v/>
      </c>
      <c r="AG9" s="65" t="str">
        <f t="shared" si="3"/>
        <v/>
      </c>
      <c r="AH9" s="69"/>
    </row>
    <row r="10" spans="1:34" s="61" customFormat="1" ht="12.75" x14ac:dyDescent="0.2">
      <c r="A10" s="62">
        <v>7</v>
      </c>
      <c r="B10" s="63" t="s">
        <v>173</v>
      </c>
      <c r="C10" s="63" t="s">
        <v>184</v>
      </c>
      <c r="D10" s="87" t="s">
        <v>185</v>
      </c>
      <c r="E10" s="66">
        <v>45967</v>
      </c>
      <c r="F10" s="63" t="s">
        <v>194</v>
      </c>
      <c r="G10" s="63"/>
      <c r="H10" s="62" t="s">
        <v>147</v>
      </c>
      <c r="I10" s="66"/>
      <c r="J10" s="64">
        <v>0.3</v>
      </c>
      <c r="K10" s="63">
        <v>3</v>
      </c>
      <c r="L10" s="63"/>
      <c r="M10" s="65"/>
      <c r="N10" s="65"/>
      <c r="O10" s="65">
        <f t="shared" ref="O10:O14" si="4">IF(H10="aktiv",IF(OR(ISBLANK(K10),ISBLANK(J10)),"",5*(5*J10-0.5)+K10),"")</f>
        <v>8</v>
      </c>
      <c r="P10" s="63"/>
      <c r="Q10" s="62"/>
      <c r="R10" s="63"/>
      <c r="S10" s="63"/>
      <c r="T10" s="66" t="s">
        <v>148</v>
      </c>
      <c r="U10" s="63"/>
      <c r="V10" s="63"/>
      <c r="W10" s="63"/>
      <c r="X10" s="63"/>
      <c r="Y10" s="69" t="s">
        <v>148</v>
      </c>
      <c r="Z10" s="62"/>
      <c r="AA10" s="66" t="s">
        <v>148</v>
      </c>
      <c r="AB10" s="64"/>
      <c r="AC10" s="63"/>
      <c r="AD10" s="70">
        <v>0</v>
      </c>
      <c r="AE10" s="71" t="str">
        <f t="shared" ref="AE10:AE14" si="5">IF(AB10&gt;0,IF(AD10&gt;0,AD10*AB10,""),"")</f>
        <v/>
      </c>
      <c r="AF10" s="65" t="str">
        <f t="shared" ref="AF10:AF14" si="6">IF(Z10="aktiv",IF(OR(ISBLANK(AC10),ISBLANK(AB10)),"",IF(5*AB10+0.5+AC10&lt;=5,"C",IF(5*AB10+0.5+AC10&lt;=7,"B","A"))),"")</f>
        <v/>
      </c>
      <c r="AG10" s="65" t="str">
        <f t="shared" ref="AG10:AG14" si="7">IF(Z10="aktiv",IF(OR(ISBLANK(AC10),ISBLANK(AB10)),"",5*(5*AB10-0.5)+AC10),"")</f>
        <v/>
      </c>
      <c r="AH10" s="69"/>
    </row>
    <row r="11" spans="1:34" s="61" customFormat="1" ht="25.5" x14ac:dyDescent="0.2">
      <c r="A11" s="62">
        <v>8</v>
      </c>
      <c r="B11" s="63" t="s">
        <v>173</v>
      </c>
      <c r="C11" s="63" t="s">
        <v>195</v>
      </c>
      <c r="D11" s="87" t="s">
        <v>196</v>
      </c>
      <c r="E11" s="66">
        <v>46036</v>
      </c>
      <c r="F11" s="63" t="s">
        <v>197</v>
      </c>
      <c r="G11" s="63"/>
      <c r="H11" s="62" t="s">
        <v>147</v>
      </c>
      <c r="I11" s="66"/>
      <c r="J11" s="64">
        <v>0.7</v>
      </c>
      <c r="K11" s="63">
        <v>4</v>
      </c>
      <c r="L11" s="63"/>
      <c r="M11" s="65"/>
      <c r="N11" s="65"/>
      <c r="O11" s="65">
        <f t="shared" si="4"/>
        <v>19</v>
      </c>
      <c r="P11" s="63"/>
      <c r="Q11" s="62"/>
      <c r="R11" s="63"/>
      <c r="S11" s="63"/>
      <c r="T11" s="66" t="s">
        <v>148</v>
      </c>
      <c r="U11" s="63"/>
      <c r="V11" s="63"/>
      <c r="W11" s="63"/>
      <c r="X11" s="63"/>
      <c r="Y11" s="69" t="s">
        <v>148</v>
      </c>
      <c r="Z11" s="62"/>
      <c r="AA11" s="66" t="s">
        <v>148</v>
      </c>
      <c r="AB11" s="64"/>
      <c r="AC11" s="63"/>
      <c r="AD11" s="70">
        <v>0</v>
      </c>
      <c r="AE11" s="71" t="str">
        <f t="shared" si="5"/>
        <v/>
      </c>
      <c r="AF11" s="65" t="str">
        <f t="shared" si="6"/>
        <v/>
      </c>
      <c r="AG11" s="65" t="str">
        <f t="shared" si="7"/>
        <v/>
      </c>
      <c r="AH11" s="69"/>
    </row>
    <row r="12" spans="1:34" s="61" customFormat="1" ht="25.5" x14ac:dyDescent="0.2">
      <c r="A12" s="62">
        <v>9</v>
      </c>
      <c r="B12" s="63" t="s">
        <v>173</v>
      </c>
      <c r="C12" s="63" t="s">
        <v>198</v>
      </c>
      <c r="D12" s="87" t="s">
        <v>199</v>
      </c>
      <c r="E12" s="66">
        <v>46036</v>
      </c>
      <c r="F12" s="63" t="s">
        <v>197</v>
      </c>
      <c r="G12" s="63"/>
      <c r="H12" s="62" t="s">
        <v>147</v>
      </c>
      <c r="I12" s="66" t="s">
        <v>148</v>
      </c>
      <c r="J12" s="64">
        <v>0.1</v>
      </c>
      <c r="K12" s="63">
        <v>5</v>
      </c>
      <c r="L12" s="63"/>
      <c r="M12" s="65" t="str">
        <f t="shared" ref="M12:M14" si="8">IF(J12&gt;0,IF(L12&gt;0,L12*J12,""),"")</f>
        <v/>
      </c>
      <c r="N12" s="65"/>
      <c r="O12" s="65">
        <f t="shared" si="4"/>
        <v>5</v>
      </c>
      <c r="P12" s="63"/>
      <c r="Q12" s="62"/>
      <c r="R12" s="63"/>
      <c r="S12" s="63"/>
      <c r="T12" s="66" t="s">
        <v>148</v>
      </c>
      <c r="U12" s="63"/>
      <c r="V12" s="63"/>
      <c r="W12" s="63"/>
      <c r="X12" s="63"/>
      <c r="Y12" s="69" t="s">
        <v>148</v>
      </c>
      <c r="Z12" s="62"/>
      <c r="AA12" s="66" t="s">
        <v>148</v>
      </c>
      <c r="AB12" s="64"/>
      <c r="AC12" s="63"/>
      <c r="AD12" s="70">
        <v>0</v>
      </c>
      <c r="AE12" s="71" t="str">
        <f t="shared" si="5"/>
        <v/>
      </c>
      <c r="AF12" s="65" t="str">
        <f t="shared" si="6"/>
        <v/>
      </c>
      <c r="AG12" s="65" t="str">
        <f t="shared" si="7"/>
        <v/>
      </c>
      <c r="AH12" s="69"/>
    </row>
    <row r="13" spans="1:34" s="61" customFormat="1" ht="25.5" x14ac:dyDescent="0.2">
      <c r="A13" s="62">
        <v>10</v>
      </c>
      <c r="B13" s="63" t="s">
        <v>171</v>
      </c>
      <c r="C13" s="63" t="s">
        <v>200</v>
      </c>
      <c r="D13" s="87" t="s">
        <v>201</v>
      </c>
      <c r="E13" s="66">
        <v>46036</v>
      </c>
      <c r="F13" s="63" t="s">
        <v>197</v>
      </c>
      <c r="G13" s="63"/>
      <c r="H13" s="62" t="s">
        <v>147</v>
      </c>
      <c r="I13" s="66" t="s">
        <v>148</v>
      </c>
      <c r="J13" s="64">
        <v>0.3</v>
      </c>
      <c r="K13" s="63">
        <v>3</v>
      </c>
      <c r="L13" s="63"/>
      <c r="M13" s="65" t="str">
        <f t="shared" si="8"/>
        <v/>
      </c>
      <c r="N13" s="65"/>
      <c r="O13" s="65">
        <f t="shared" si="4"/>
        <v>8</v>
      </c>
      <c r="P13" s="63"/>
      <c r="Q13" s="62"/>
      <c r="R13" s="63"/>
      <c r="S13" s="63"/>
      <c r="T13" s="66" t="s">
        <v>148</v>
      </c>
      <c r="U13" s="63"/>
      <c r="V13" s="63"/>
      <c r="W13" s="63"/>
      <c r="X13" s="63"/>
      <c r="Y13" s="69" t="s">
        <v>148</v>
      </c>
      <c r="Z13" s="62"/>
      <c r="AA13" s="66" t="s">
        <v>148</v>
      </c>
      <c r="AB13" s="64"/>
      <c r="AC13" s="63"/>
      <c r="AD13" s="70">
        <v>0</v>
      </c>
      <c r="AE13" s="71" t="str">
        <f t="shared" si="5"/>
        <v/>
      </c>
      <c r="AF13" s="65" t="str">
        <f t="shared" si="6"/>
        <v/>
      </c>
      <c r="AG13" s="65" t="str">
        <f t="shared" si="7"/>
        <v/>
      </c>
      <c r="AH13" s="69"/>
    </row>
    <row r="14" spans="1:34" s="61" customFormat="1" ht="25.5" x14ac:dyDescent="0.2">
      <c r="A14" s="62">
        <v>11</v>
      </c>
      <c r="B14" s="63" t="s">
        <v>173</v>
      </c>
      <c r="C14" s="63" t="s">
        <v>202</v>
      </c>
      <c r="D14" s="87" t="s">
        <v>203</v>
      </c>
      <c r="E14" s="66">
        <v>46036</v>
      </c>
      <c r="F14" s="63" t="s">
        <v>197</v>
      </c>
      <c r="G14" s="63"/>
      <c r="H14" s="62" t="s">
        <v>147</v>
      </c>
      <c r="I14" s="66" t="s">
        <v>148</v>
      </c>
      <c r="J14" s="64">
        <v>0.1</v>
      </c>
      <c r="K14" s="63">
        <v>2</v>
      </c>
      <c r="L14" s="63"/>
      <c r="M14" s="65" t="str">
        <f t="shared" si="8"/>
        <v/>
      </c>
      <c r="N14" s="65"/>
      <c r="O14" s="65">
        <f t="shared" si="4"/>
        <v>2</v>
      </c>
      <c r="P14" s="63"/>
      <c r="Q14" s="62"/>
      <c r="R14" s="63"/>
      <c r="S14" s="63"/>
      <c r="T14" s="66" t="s">
        <v>148</v>
      </c>
      <c r="U14" s="63"/>
      <c r="V14" s="63"/>
      <c r="W14" s="63"/>
      <c r="X14" s="63"/>
      <c r="Y14" s="69" t="s">
        <v>148</v>
      </c>
      <c r="Z14" s="62"/>
      <c r="AA14" s="66" t="s">
        <v>148</v>
      </c>
      <c r="AB14" s="64"/>
      <c r="AC14" s="63"/>
      <c r="AD14" s="70">
        <v>0</v>
      </c>
      <c r="AE14" s="71" t="str">
        <f t="shared" si="5"/>
        <v/>
      </c>
      <c r="AF14" s="65" t="str">
        <f t="shared" si="6"/>
        <v/>
      </c>
      <c r="AG14" s="65" t="str">
        <f t="shared" si="7"/>
        <v/>
      </c>
      <c r="AH14" s="69"/>
    </row>
    <row r="15" spans="1:34" x14ac:dyDescent="0.25"/>
    <row r="16" spans="1:34"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sheetData>
  <autoFilter ref="A3:AH3" xr:uid="{00000000-0009-0000-0000-000002000000}"/>
  <mergeCells count="5">
    <mergeCell ref="A1:AH1"/>
    <mergeCell ref="A2:G2"/>
    <mergeCell ref="H2:P2"/>
    <mergeCell ref="Q2:Y2"/>
    <mergeCell ref="Z2:AH2"/>
  </mergeCells>
  <conditionalFormatting sqref="N4:N14">
    <cfRule type="cellIs" dxfId="5" priority="4" operator="equal">
      <formula>"A"</formula>
    </cfRule>
    <cfRule type="cellIs" dxfId="4" priority="5" operator="equal">
      <formula>"B"</formula>
    </cfRule>
    <cfRule type="cellIs" dxfId="3" priority="6" operator="equal">
      <formula>"C"</formula>
    </cfRule>
  </conditionalFormatting>
  <conditionalFormatting sqref="AF4:AF14">
    <cfRule type="cellIs" dxfId="2" priority="1" operator="equal">
      <formula>"A"</formula>
    </cfRule>
    <cfRule type="cellIs" dxfId="1" priority="2" operator="equal">
      <formula>"B"</formula>
    </cfRule>
    <cfRule type="cellIs" dxfId="0" priority="3" operator="equal">
      <formula>"C"</formula>
    </cfRule>
  </conditionalFormatting>
  <dataValidations count="5">
    <dataValidation type="list" allowBlank="1" showInputMessage="1" showErrorMessage="1" sqref="B4:B14" xr:uid="{00000000-0002-0000-0200-000000000000}">
      <formula1>Thema</formula1>
    </dataValidation>
    <dataValidation type="list" allowBlank="1" showInputMessage="1" showErrorMessage="1" sqref="H4:H14 Z4:Z14" xr:uid="{00000000-0002-0000-0200-000001000000}">
      <formula1>Risikostatus</formula1>
    </dataValidation>
    <dataValidation type="list" allowBlank="1" showInputMessage="1" showErrorMessage="1" sqref="J4:J14 AB4:AB14" xr:uid="{00000000-0002-0000-0200-000002000000}">
      <formula1>Wahrscheinlichkeit</formula1>
    </dataValidation>
    <dataValidation type="list" allowBlank="1" showInputMessage="1" showErrorMessage="1" sqref="K4:K14 AC4:AC14" xr:uid="{00000000-0002-0000-0200-000003000000}">
      <formula1>Auswirkung</formula1>
    </dataValidation>
    <dataValidation type="list" allowBlank="1" showInputMessage="1" showErrorMessage="1" sqref="U4:X14" xr:uid="{00000000-0002-0000-0200-000004000000}">
      <formula1>janein</formula1>
    </dataValidation>
  </dataValidations>
  <pageMargins left="0.70866141732283472" right="0.70866141732283472" top="0.74803149606299213" bottom="1.1811023622047245" header="0.19685039370078741" footer="0.19685039370078741"/>
  <pageSetup paperSize="9" scale="24" orientation="landscape" r:id="rId1"/>
  <headerFooter>
    <oddFooter xml:space="preserve">&amp;L&amp;G&amp;R&amp;"-,Fett"&amp;8Bundesverwaltungsamt&amp;"-,Standard" – Der zentrale Dienstleister des Bundes | &amp;D | Seite &amp;P
</oddFooter>
  </headerFooter>
  <colBreaks count="1" manualBreakCount="1">
    <brk id="7"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J30"/>
  <sheetViews>
    <sheetView showGridLines="0" zoomScaleNormal="100" workbookViewId="0">
      <selection sqref="A1:XFD1048576"/>
    </sheetView>
  </sheetViews>
  <sheetFormatPr baseColWidth="10" defaultColWidth="0" defaultRowHeight="15" zeroHeight="1" x14ac:dyDescent="0.25"/>
  <cols>
    <col min="1" max="1" width="4.28515625" style="31" customWidth="1"/>
    <col min="2" max="7" width="11.42578125" style="31" customWidth="1"/>
    <col min="8" max="8" width="5.85546875" style="31" customWidth="1"/>
    <col min="9" max="9" width="17.42578125" style="31" customWidth="1"/>
    <col min="10" max="10" width="11.42578125" style="31" customWidth="1"/>
    <col min="11" max="16384" width="11.42578125" style="31" hidden="1"/>
  </cols>
  <sheetData>
    <row r="1" spans="1:9" ht="15.75" thickBot="1" x14ac:dyDescent="0.3"/>
    <row r="2" spans="1:9" ht="56.25" customHeight="1" x14ac:dyDescent="0.25">
      <c r="A2" s="113" t="s">
        <v>60</v>
      </c>
      <c r="B2" s="32">
        <v>5</v>
      </c>
      <c r="C2" s="36">
        <f>IF(COUNTIF(Risikoliste!$O:$O,5*('Risikomatrix VOR Maßnahme'!C$7-1)+'Risikomatrix VOR Maßnahme'!$B2)=0,"",COUNTIF(Risikoliste!$O:$O,5*('Risikomatrix VOR Maßnahme'!C$7-1)+'Risikomatrix VOR Maßnahme'!$B2))</f>
        <v>2</v>
      </c>
      <c r="D2" s="37" t="str">
        <f>IF(COUNTIF(Risikoliste!$O:$O,5*('Risikomatrix VOR Maßnahme'!D$7-1)+'Risikomatrix VOR Maßnahme'!$B2)=0,"",COUNTIF(Risikoliste!$O:$O,5*('Risikomatrix VOR Maßnahme'!D$7-1)+'Risikomatrix VOR Maßnahme'!$B2))</f>
        <v/>
      </c>
      <c r="E2" s="38" t="str">
        <f>IF(COUNTIF(Risikoliste!$O:$O,5*('Risikomatrix VOR Maßnahme'!E$7-1)+'Risikomatrix VOR Maßnahme'!$B2)=0,"",COUNTIF(Risikoliste!$O:$O,5*('Risikomatrix VOR Maßnahme'!E$7-1)+'Risikomatrix VOR Maßnahme'!$B2))</f>
        <v/>
      </c>
      <c r="F2" s="38" t="str">
        <f>IF(COUNTIF(Risikoliste!$O:$O,5*('Risikomatrix VOR Maßnahme'!F$7-1)+'Risikomatrix VOR Maßnahme'!$B2)=0,"",COUNTIF(Risikoliste!$O:$O,5*('Risikomatrix VOR Maßnahme'!F$7-1)+'Risikomatrix VOR Maßnahme'!$B2))</f>
        <v/>
      </c>
      <c r="G2" s="39" t="str">
        <f>IF(COUNTIF(Risikoliste!$O:$O,5*('Risikomatrix VOR Maßnahme'!G$7-1)+'Risikomatrix VOR Maßnahme'!$B2)=0,"",COUNTIF(Risikoliste!$O:$O,5*('Risikomatrix VOR Maßnahme'!G$7-1)+'Risikomatrix VOR Maßnahme'!$B2))</f>
        <v/>
      </c>
      <c r="H2" s="33"/>
      <c r="I2" s="33"/>
    </row>
    <row r="3" spans="1:9" ht="56.25" customHeight="1" thickBot="1" x14ac:dyDescent="0.3">
      <c r="A3" s="113"/>
      <c r="B3" s="32">
        <v>4</v>
      </c>
      <c r="C3" s="40" t="str">
        <f>IF(COUNTIF(Risikoliste!$O:$O,5*('Risikomatrix VOR Maßnahme'!C$7-1)+'Risikomatrix VOR Maßnahme'!$B3)=0,"",COUNTIF(Risikoliste!$O:$O,5*('Risikomatrix VOR Maßnahme'!C$7-1)+'Risikomatrix VOR Maßnahme'!$B3))</f>
        <v/>
      </c>
      <c r="D3" s="41">
        <f>IF(COUNTIF(Risikoliste!$O:$O,5*('Risikomatrix VOR Maßnahme'!D$7-1)+'Risikomatrix VOR Maßnahme'!$B3)=0,"",COUNTIF(Risikoliste!$O:$O,5*('Risikomatrix VOR Maßnahme'!D$7-1)+'Risikomatrix VOR Maßnahme'!$B3))</f>
        <v>1</v>
      </c>
      <c r="E3" s="41">
        <f>IF(COUNTIF(Risikoliste!$O:$O,5*('Risikomatrix VOR Maßnahme'!E$7-1)+'Risikomatrix VOR Maßnahme'!$B3)=0,"",COUNTIF(Risikoliste!$O:$O,5*('Risikomatrix VOR Maßnahme'!E$7-1)+'Risikomatrix VOR Maßnahme'!$B3))</f>
        <v>1</v>
      </c>
      <c r="F3" s="42">
        <f>IF(COUNTIF(Risikoliste!$O:$O,5*('Risikomatrix VOR Maßnahme'!F$7-1)+'Risikomatrix VOR Maßnahme'!$B3)=0,"",COUNTIF(Risikoliste!$O:$O,5*('Risikomatrix VOR Maßnahme'!F$7-1)+'Risikomatrix VOR Maßnahme'!$B3))</f>
        <v>1</v>
      </c>
      <c r="G3" s="43" t="str">
        <f>IF(COUNTIF(Risikoliste!$O:$O,5*('Risikomatrix VOR Maßnahme'!G$7-1)+'Risikomatrix VOR Maßnahme'!$B3)=0,"",COUNTIF(Risikoliste!$O:$O,5*('Risikomatrix VOR Maßnahme'!G$7-1)+'Risikomatrix VOR Maßnahme'!$B3))</f>
        <v/>
      </c>
      <c r="H3" s="33"/>
      <c r="I3" s="33"/>
    </row>
    <row r="4" spans="1:9" ht="56.25" customHeight="1" x14ac:dyDescent="0.25">
      <c r="A4" s="113"/>
      <c r="B4" s="32">
        <v>3</v>
      </c>
      <c r="C4" s="40">
        <f>IF(COUNTIF(Risikoliste!$O:$O,5*('Risikomatrix VOR Maßnahme'!C$7-1)+'Risikomatrix VOR Maßnahme'!$B4)=0,"",COUNTIF(Risikoliste!$O:$O,5*('Risikomatrix VOR Maßnahme'!C$7-1)+'Risikomatrix VOR Maßnahme'!$B4))</f>
        <v>1</v>
      </c>
      <c r="D4" s="44">
        <f>IF(COUNTIF(Risikoliste!$O:$O,5*('Risikomatrix VOR Maßnahme'!D$7-1)+'Risikomatrix VOR Maßnahme'!$B4)=0,"",COUNTIF(Risikoliste!$O:$O,5*('Risikomatrix VOR Maßnahme'!D$7-1)+'Risikomatrix VOR Maßnahme'!$B4))</f>
        <v>3</v>
      </c>
      <c r="E4" s="41" t="str">
        <f>IF(COUNTIF(Risikoliste!$O:$O,5*('Risikomatrix VOR Maßnahme'!E$7-1)+'Risikomatrix VOR Maßnahme'!$B4)=0,"",COUNTIF(Risikoliste!$O:$O,5*('Risikomatrix VOR Maßnahme'!E$7-1)+'Risikomatrix VOR Maßnahme'!$B4))</f>
        <v/>
      </c>
      <c r="F4" s="41" t="str">
        <f>IF(COUNTIF(Risikoliste!$O:$O,5*('Risikomatrix VOR Maßnahme'!F$7-1)+'Risikomatrix VOR Maßnahme'!$B4)=0,"",COUNTIF(Risikoliste!$O:$O,5*('Risikomatrix VOR Maßnahme'!F$7-1)+'Risikomatrix VOR Maßnahme'!$B4))</f>
        <v/>
      </c>
      <c r="G4" s="43" t="str">
        <f>IF(COUNTIF(Risikoliste!$O:$O,5*('Risikomatrix VOR Maßnahme'!G$7-1)+'Risikomatrix VOR Maßnahme'!$B4)=0,"",COUNTIF(Risikoliste!$O:$O,5*('Risikomatrix VOR Maßnahme'!G$7-1)+'Risikomatrix VOR Maßnahme'!$B4))</f>
        <v/>
      </c>
      <c r="H4" s="33"/>
      <c r="I4" s="49" t="str">
        <f>"Anzahl
Klasse A: " &amp; SUM(E2,F2,G2,F3,G3,G4)</f>
        <v>Anzahl
Klasse A: 1</v>
      </c>
    </row>
    <row r="5" spans="1:9" ht="56.25" customHeight="1" x14ac:dyDescent="0.25">
      <c r="A5" s="113"/>
      <c r="B5" s="32">
        <v>2</v>
      </c>
      <c r="C5" s="40">
        <f>IF(COUNTIF(Risikoliste!$O:$O,5*('Risikomatrix VOR Maßnahme'!C$7-1)+'Risikomatrix VOR Maßnahme'!$B5)=0,"",COUNTIF(Risikoliste!$O:$O,5*('Risikomatrix VOR Maßnahme'!C$7-1)+'Risikomatrix VOR Maßnahme'!$B5))</f>
        <v>1</v>
      </c>
      <c r="D5" s="44" t="str">
        <f>IF(COUNTIF(Risikoliste!$O:$O,5*('Risikomatrix VOR Maßnahme'!D$7-1)+'Risikomatrix VOR Maßnahme'!$B5)=0,"",COUNTIF(Risikoliste!$O:$O,5*('Risikomatrix VOR Maßnahme'!D$7-1)+'Risikomatrix VOR Maßnahme'!$B5))</f>
        <v/>
      </c>
      <c r="E5" s="44">
        <f>IF(COUNTIF(Risikoliste!$O:$O,5*('Risikomatrix VOR Maßnahme'!E$7-1)+'Risikomatrix VOR Maßnahme'!$B5)=0,"",COUNTIF(Risikoliste!$O:$O,5*('Risikomatrix VOR Maßnahme'!E$7-1)+'Risikomatrix VOR Maßnahme'!$B5))</f>
        <v>1</v>
      </c>
      <c r="F5" s="41" t="str">
        <f>IF(COUNTIF(Risikoliste!$O:$O,5*('Risikomatrix VOR Maßnahme'!F$7-1)+'Risikomatrix VOR Maßnahme'!$B5)=0,"",COUNTIF(Risikoliste!$O:$O,5*('Risikomatrix VOR Maßnahme'!F$7-1)+'Risikomatrix VOR Maßnahme'!$B5))</f>
        <v/>
      </c>
      <c r="G5" s="45" t="str">
        <f>IF(COUNTIF(Risikoliste!$O:$O,5*('Risikomatrix VOR Maßnahme'!G$7-1)+'Risikomatrix VOR Maßnahme'!$B5)=0,"",COUNTIF(Risikoliste!$O:$O,5*('Risikomatrix VOR Maßnahme'!G$7-1)+'Risikomatrix VOR Maßnahme'!$B5))</f>
        <v/>
      </c>
      <c r="H5" s="33"/>
      <c r="I5" s="50" t="str">
        <f>"Anzahl
Klasse B: " &amp; SUM(C2,D2,D3,E3,E4,F4,F5,G5,G6)</f>
        <v>Anzahl
Klasse B: 4</v>
      </c>
    </row>
    <row r="6" spans="1:9" ht="56.25" customHeight="1" thickBot="1" x14ac:dyDescent="0.3">
      <c r="A6" s="113"/>
      <c r="B6" s="32">
        <v>1</v>
      </c>
      <c r="C6" s="46" t="str">
        <f>IF(COUNTIF(Risikoliste!$O:$O,5*('Risikomatrix VOR Maßnahme'!C$7-1)+'Risikomatrix VOR Maßnahme'!$B6)=0,"",COUNTIF(Risikoliste!$O:$O,5*('Risikomatrix VOR Maßnahme'!C$7-1)+'Risikomatrix VOR Maßnahme'!$B6))</f>
        <v/>
      </c>
      <c r="D6" s="47" t="str">
        <f>IF(COUNTIF(Risikoliste!$O:$O,5*('Risikomatrix VOR Maßnahme'!D$7-1)+'Risikomatrix VOR Maßnahme'!$B6)=0,"",COUNTIF(Risikoliste!$O:$O,5*('Risikomatrix VOR Maßnahme'!D$7-1)+'Risikomatrix VOR Maßnahme'!$B6))</f>
        <v/>
      </c>
      <c r="E6" s="47" t="str">
        <f>IF(COUNTIF(Risikoliste!$O:$O,5*('Risikomatrix VOR Maßnahme'!E$7-1)+'Risikomatrix VOR Maßnahme'!$B6)=0,"",COUNTIF(Risikoliste!$O:$O,5*('Risikomatrix VOR Maßnahme'!E$7-1)+'Risikomatrix VOR Maßnahme'!$B6))</f>
        <v/>
      </c>
      <c r="F6" s="47" t="str">
        <f>IF(COUNTIF(Risikoliste!$O:$O,5*('Risikomatrix VOR Maßnahme'!F$7-1)+'Risikomatrix VOR Maßnahme'!$B6)=0,"",COUNTIF(Risikoliste!$O:$O,5*('Risikomatrix VOR Maßnahme'!F$7-1)+'Risikomatrix VOR Maßnahme'!$B6))</f>
        <v/>
      </c>
      <c r="G6" s="48" t="str">
        <f>IF(COUNTIF(Risikoliste!$O:$O,5*('Risikomatrix VOR Maßnahme'!G$7-1)+'Risikomatrix VOR Maßnahme'!$B6)=0,"",COUNTIF(Risikoliste!$O:$O,5*('Risikomatrix VOR Maßnahme'!G$7-1)+'Risikomatrix VOR Maßnahme'!$B6))</f>
        <v/>
      </c>
      <c r="H6" s="33"/>
      <c r="I6" s="51" t="str">
        <f>"Anzahl
Klasse C: " &amp; SUM(C3:C6,D4:D6,E5:E6,F6)</f>
        <v>Anzahl
Klasse C: 6</v>
      </c>
    </row>
    <row r="7" spans="1:9" hidden="1" x14ac:dyDescent="0.25">
      <c r="A7" s="33"/>
      <c r="B7" s="32"/>
      <c r="C7" s="32">
        <v>1</v>
      </c>
      <c r="D7" s="32">
        <v>2</v>
      </c>
      <c r="E7" s="32">
        <v>3</v>
      </c>
      <c r="F7" s="32">
        <v>4</v>
      </c>
      <c r="G7" s="32">
        <v>5</v>
      </c>
      <c r="H7" s="33"/>
      <c r="I7" s="33"/>
    </row>
    <row r="8" spans="1:9" ht="37.5" customHeight="1" x14ac:dyDescent="0.25">
      <c r="A8" s="33"/>
      <c r="B8" s="32"/>
      <c r="C8" s="34">
        <v>0.1</v>
      </c>
      <c r="D8" s="34">
        <v>0.3</v>
      </c>
      <c r="E8" s="34">
        <v>0.5</v>
      </c>
      <c r="F8" s="34">
        <v>0.7</v>
      </c>
      <c r="G8" s="34">
        <v>0.9</v>
      </c>
      <c r="H8" s="33"/>
      <c r="I8" s="33"/>
    </row>
    <row r="9" spans="1:9" ht="15.75" x14ac:dyDescent="0.25">
      <c r="A9" s="33"/>
      <c r="B9" s="33"/>
      <c r="C9" s="114" t="s">
        <v>57</v>
      </c>
      <c r="D9" s="114"/>
      <c r="E9" s="114"/>
      <c r="F9" s="114"/>
      <c r="G9" s="114"/>
      <c r="H9" s="33"/>
      <c r="I9" s="33"/>
    </row>
    <row r="10" spans="1:9" x14ac:dyDescent="0.25"/>
    <row r="11" spans="1:9" x14ac:dyDescent="0.25">
      <c r="A11" s="35" t="s">
        <v>149</v>
      </c>
    </row>
    <row r="12" spans="1:9" x14ac:dyDescent="0.25">
      <c r="A12" s="31" t="s">
        <v>150</v>
      </c>
    </row>
    <row r="13" spans="1:9" x14ac:dyDescent="0.25">
      <c r="A13" s="31" t="s">
        <v>151</v>
      </c>
    </row>
    <row r="14" spans="1:9" x14ac:dyDescent="0.25">
      <c r="A14" s="31" t="s">
        <v>152</v>
      </c>
    </row>
    <row r="15" spans="1:9" x14ac:dyDescent="0.25">
      <c r="A15" s="31" t="s">
        <v>153</v>
      </c>
    </row>
    <row r="16" spans="1:9" x14ac:dyDescent="0.25">
      <c r="A16" s="31" t="s">
        <v>154</v>
      </c>
    </row>
    <row r="17" spans="1:1" x14ac:dyDescent="0.25"/>
    <row r="18" spans="1:1" x14ac:dyDescent="0.25">
      <c r="A18" s="35" t="s">
        <v>155</v>
      </c>
    </row>
    <row r="19" spans="1:1" x14ac:dyDescent="0.25">
      <c r="A19" s="31" t="s">
        <v>156</v>
      </c>
    </row>
    <row r="20" spans="1:1" x14ac:dyDescent="0.25">
      <c r="A20" s="31" t="s">
        <v>157</v>
      </c>
    </row>
    <row r="21" spans="1:1" x14ac:dyDescent="0.25">
      <c r="A21" s="31" t="s">
        <v>158</v>
      </c>
    </row>
    <row r="22" spans="1:1" x14ac:dyDescent="0.25">
      <c r="A22" s="31" t="s">
        <v>159</v>
      </c>
    </row>
    <row r="23" spans="1:1" x14ac:dyDescent="0.25">
      <c r="A23" s="31" t="s">
        <v>160</v>
      </c>
    </row>
    <row r="24" spans="1:1" x14ac:dyDescent="0.25"/>
    <row r="25" spans="1:1" x14ac:dyDescent="0.25"/>
    <row r="26" spans="1:1" x14ac:dyDescent="0.25"/>
    <row r="27" spans="1:1" x14ac:dyDescent="0.25"/>
    <row r="28" spans="1:1" x14ac:dyDescent="0.25"/>
    <row r="29" spans="1:1" x14ac:dyDescent="0.25"/>
    <row r="30" spans="1:1" x14ac:dyDescent="0.2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J30"/>
  <sheetViews>
    <sheetView showGridLines="0" zoomScaleNormal="100" workbookViewId="0">
      <selection activeCell="A31" sqref="A31:XFD1048576"/>
    </sheetView>
  </sheetViews>
  <sheetFormatPr baseColWidth="10" defaultColWidth="0" defaultRowHeight="15" zeroHeight="1" x14ac:dyDescent="0.25"/>
  <cols>
    <col min="1" max="1" width="4.28515625" style="31" customWidth="1"/>
    <col min="2" max="7" width="11.42578125" style="31" customWidth="1"/>
    <col min="8" max="8" width="5.85546875" style="31" customWidth="1"/>
    <col min="9" max="9" width="17.42578125" style="31" customWidth="1"/>
    <col min="10" max="10" width="11.42578125" style="31" customWidth="1"/>
    <col min="11" max="16384" width="11.42578125" style="31" hidden="1"/>
  </cols>
  <sheetData>
    <row r="1" spans="1:9" ht="15.75" thickBot="1" x14ac:dyDescent="0.3"/>
    <row r="2" spans="1:9" ht="56.25" customHeight="1" x14ac:dyDescent="0.25">
      <c r="A2" s="113" t="s">
        <v>60</v>
      </c>
      <c r="B2" s="32">
        <v>5</v>
      </c>
      <c r="C2" s="36" t="str">
        <f>IF(COUNTIF(Risikoliste!$AG:$AG,5*('Risikomatrix NACH Maßnahme'!C$7-1)+'Risikomatrix NACH Maßnahme'!$B2)=0,"",COUNTIF(Risikoliste!$AG:$AG,5*('Risikomatrix NACH Maßnahme'!C$7-1)+'Risikomatrix NACH Maßnahme'!$B2))</f>
        <v/>
      </c>
      <c r="D2" s="36" t="str">
        <f>IF(COUNTIF(Risikoliste!$AG:$AG,5*('Risikomatrix NACH Maßnahme'!D$7-1)+'Risikomatrix NACH Maßnahme'!$B2)=0,"",COUNTIF(Risikoliste!$AG:$AG,5*('Risikomatrix NACH Maßnahme'!D$7-1)+'Risikomatrix NACH Maßnahme'!$B2))</f>
        <v/>
      </c>
      <c r="E2" s="38" t="str">
        <f>IF(COUNTIF(Risikoliste!$AG:$AG,5*('Risikomatrix NACH Maßnahme'!E$7-1)+'Risikomatrix NACH Maßnahme'!$B2)=0,"",COUNTIF(Risikoliste!$AG:$AG,5*('Risikomatrix NACH Maßnahme'!E$7-1)+'Risikomatrix NACH Maßnahme'!$B2))</f>
        <v/>
      </c>
      <c r="F2" s="38" t="str">
        <f>IF(COUNTIF(Risikoliste!$AG:$AG,5*('Risikomatrix NACH Maßnahme'!F$7-1)+'Risikomatrix NACH Maßnahme'!$B2)=0,"",COUNTIF(Risikoliste!$AG:$AG,5*('Risikomatrix NACH Maßnahme'!F$7-1)+'Risikomatrix NACH Maßnahme'!$B2))</f>
        <v/>
      </c>
      <c r="G2" s="39" t="str">
        <f>IF(COUNTIF(Risikoliste!$AG:$AG,5*('Risikomatrix NACH Maßnahme'!G$7-1)+'Risikomatrix NACH Maßnahme'!$B2)=0,"",COUNTIF(Risikoliste!$AG:$AG,5*('Risikomatrix NACH Maßnahme'!G$7-1)+'Risikomatrix NACH Maßnahme'!$B2))</f>
        <v/>
      </c>
      <c r="H2" s="33"/>
      <c r="I2" s="33"/>
    </row>
    <row r="3" spans="1:9" ht="56.25" customHeight="1" thickBot="1" x14ac:dyDescent="0.3">
      <c r="A3" s="113"/>
      <c r="B3" s="32">
        <v>4</v>
      </c>
      <c r="C3" s="40" t="str">
        <f>IF(COUNTIF(Risikoliste!$AG:$AG,5*('Risikomatrix NACH Maßnahme'!C$7-1)+'Risikomatrix NACH Maßnahme'!$B3)=0,"",COUNTIF(Risikoliste!$AG:$AG,5*('Risikomatrix NACH Maßnahme'!C$7-1)+'Risikomatrix NACH Maßnahme'!$B3))</f>
        <v/>
      </c>
      <c r="D3" s="41" t="str">
        <f>IF(COUNTIF(Risikoliste!$AG:$AG,5*('Risikomatrix NACH Maßnahme'!D$7-1)+'Risikomatrix NACH Maßnahme'!$B3)=0,"",COUNTIF(Risikoliste!$AG:$AG,5*('Risikomatrix NACH Maßnahme'!D$7-1)+'Risikomatrix NACH Maßnahme'!$B3))</f>
        <v/>
      </c>
      <c r="E3" s="41" t="str">
        <f>IF(COUNTIF(Risikoliste!$AG:$AG,5*('Risikomatrix NACH Maßnahme'!E$7-1)+'Risikomatrix NACH Maßnahme'!$B3)=0,"",COUNTIF(Risikoliste!$AG:$AG,5*('Risikomatrix NACH Maßnahme'!E$7-1)+'Risikomatrix NACH Maßnahme'!$B3))</f>
        <v/>
      </c>
      <c r="F3" s="42" t="str">
        <f>IF(COUNTIF(Risikoliste!$AG:$AG,5*('Risikomatrix NACH Maßnahme'!F$7-1)+'Risikomatrix NACH Maßnahme'!$B3)=0,"",COUNTIF(Risikoliste!$AG:$AG,5*('Risikomatrix NACH Maßnahme'!F$7-1)+'Risikomatrix NACH Maßnahme'!$B3))</f>
        <v/>
      </c>
      <c r="G3" s="43" t="str">
        <f>IF(COUNTIF(Risikoliste!$AG:$AG,5*('Risikomatrix NACH Maßnahme'!G$7-1)+'Risikomatrix NACH Maßnahme'!$B3)=0,"",COUNTIF(Risikoliste!$AG:$AG,5*('Risikomatrix NACH Maßnahme'!G$7-1)+'Risikomatrix NACH Maßnahme'!$B3))</f>
        <v/>
      </c>
      <c r="H3" s="33"/>
      <c r="I3" s="33"/>
    </row>
    <row r="4" spans="1:9" ht="56.25" customHeight="1" x14ac:dyDescent="0.25">
      <c r="A4" s="113"/>
      <c r="B4" s="32">
        <v>3</v>
      </c>
      <c r="C4" s="40" t="str">
        <f>IF(COUNTIF(Risikoliste!$AG:$AG,5*('Risikomatrix NACH Maßnahme'!C$7-1)+'Risikomatrix NACH Maßnahme'!$B4)=0,"",COUNTIF(Risikoliste!$AG:$AG,5*('Risikomatrix NACH Maßnahme'!C$7-1)+'Risikomatrix NACH Maßnahme'!$B4))</f>
        <v/>
      </c>
      <c r="D4" s="44" t="str">
        <f>IF(COUNTIF(Risikoliste!$AG:$AG,5*('Risikomatrix NACH Maßnahme'!D$7-1)+'Risikomatrix NACH Maßnahme'!$B4)=0,"",COUNTIF(Risikoliste!$AG:$AG,5*('Risikomatrix NACH Maßnahme'!D$7-1)+'Risikomatrix NACH Maßnahme'!$B4))</f>
        <v/>
      </c>
      <c r="E4" s="41" t="str">
        <f>IF(COUNTIF(Risikoliste!$AG:$AG,5*('Risikomatrix NACH Maßnahme'!E$7-1)+'Risikomatrix NACH Maßnahme'!$B4)=0,"",COUNTIF(Risikoliste!$AG:$AG,5*('Risikomatrix NACH Maßnahme'!E$7-1)+'Risikomatrix NACH Maßnahme'!$B4))</f>
        <v/>
      </c>
      <c r="F4" s="41" t="str">
        <f>IF(COUNTIF(Risikoliste!$AG:$AG,5*('Risikomatrix NACH Maßnahme'!F$7-1)+'Risikomatrix NACH Maßnahme'!$B4)=0,"",COUNTIF(Risikoliste!$AG:$AG,5*('Risikomatrix NACH Maßnahme'!F$7-1)+'Risikomatrix NACH Maßnahme'!$B4))</f>
        <v/>
      </c>
      <c r="G4" s="43" t="str">
        <f>IF(COUNTIF(Risikoliste!$AG:$AG,5*('Risikomatrix NACH Maßnahme'!G$7-1)+'Risikomatrix NACH Maßnahme'!$B4)=0,"",COUNTIF(Risikoliste!$AG:$AG,5*('Risikomatrix NACH Maßnahme'!G$7-1)+'Risikomatrix NACH Maßnahme'!$B4))</f>
        <v/>
      </c>
      <c r="H4" s="33"/>
      <c r="I4" s="49" t="str">
        <f>"Anzahl
Klasse A: " &amp; SUM(E2,F2,G2,F3,G3,G4)</f>
        <v>Anzahl
Klasse A: 0</v>
      </c>
    </row>
    <row r="5" spans="1:9" ht="56.25" customHeight="1" x14ac:dyDescent="0.25">
      <c r="A5" s="113"/>
      <c r="B5" s="32">
        <v>2</v>
      </c>
      <c r="C5" s="40" t="str">
        <f>IF(COUNTIF(Risikoliste!$AG:$AG,5*('Risikomatrix NACH Maßnahme'!C$7-1)+'Risikomatrix NACH Maßnahme'!$B5)=0,"",COUNTIF(Risikoliste!$AG:$AG,5*('Risikomatrix NACH Maßnahme'!C$7-1)+'Risikomatrix NACH Maßnahme'!$B5))</f>
        <v/>
      </c>
      <c r="D5" s="44" t="str">
        <f>IF(COUNTIF(Risikoliste!$AG:$AG,5*('Risikomatrix NACH Maßnahme'!D$7-1)+'Risikomatrix NACH Maßnahme'!$B5)=0,"",COUNTIF(Risikoliste!$AG:$AG,5*('Risikomatrix NACH Maßnahme'!D$7-1)+'Risikomatrix NACH Maßnahme'!$B5))</f>
        <v/>
      </c>
      <c r="E5" s="44" t="str">
        <f>IF(COUNTIF(Risikoliste!$AG:$AG,5*('Risikomatrix NACH Maßnahme'!E$7-1)+'Risikomatrix NACH Maßnahme'!$B5)=0,"",COUNTIF(Risikoliste!$AG:$AG,5*('Risikomatrix NACH Maßnahme'!E$7-1)+'Risikomatrix NACH Maßnahme'!$B5))</f>
        <v/>
      </c>
      <c r="F5" s="41" t="str">
        <f>IF(COUNTIF(Risikoliste!$AG:$AG,5*('Risikomatrix NACH Maßnahme'!F$7-1)+'Risikomatrix NACH Maßnahme'!$B5)=0,"",COUNTIF(Risikoliste!$AG:$AG,5*('Risikomatrix NACH Maßnahme'!F$7-1)+'Risikomatrix NACH Maßnahme'!$B5))</f>
        <v/>
      </c>
      <c r="G5" s="45" t="str">
        <f>IF(COUNTIF(Risikoliste!$AG:$AG,5*('Risikomatrix NACH Maßnahme'!G$7-1)+'Risikomatrix NACH Maßnahme'!$B5)=0,"",COUNTIF(Risikoliste!$AG:$AG,5*('Risikomatrix NACH Maßnahme'!G$7-1)+'Risikomatrix NACH Maßnahme'!$B5))</f>
        <v/>
      </c>
      <c r="H5" s="33"/>
      <c r="I5" s="50" t="str">
        <f>"Anzahl
Klasse B: " &amp; SUM(C2,D2,D3,E3,E4,F4,F5,G5,G6)</f>
        <v>Anzahl
Klasse B: 0</v>
      </c>
    </row>
    <row r="6" spans="1:9" ht="56.25" customHeight="1" thickBot="1" x14ac:dyDescent="0.3">
      <c r="A6" s="113"/>
      <c r="B6" s="32">
        <v>1</v>
      </c>
      <c r="C6" s="46" t="str">
        <f>IF(COUNTIF(Risikoliste!$AG:$AG,5*('Risikomatrix NACH Maßnahme'!C$7-1)+'Risikomatrix NACH Maßnahme'!$B6)=0,"",COUNTIF(Risikoliste!$AG:$AG,5*('Risikomatrix NACH Maßnahme'!C$7-1)+'Risikomatrix NACH Maßnahme'!$B6))</f>
        <v/>
      </c>
      <c r="D6" s="47" t="str">
        <f>IF(COUNTIF(Risikoliste!$AG:$AG,5*('Risikomatrix NACH Maßnahme'!D$7-1)+'Risikomatrix NACH Maßnahme'!$B6)=0,"",COUNTIF(Risikoliste!$AG:$AG,5*('Risikomatrix NACH Maßnahme'!D$7-1)+'Risikomatrix NACH Maßnahme'!$B6))</f>
        <v/>
      </c>
      <c r="E6" s="47" t="str">
        <f>IF(COUNTIF(Risikoliste!$AG:$AG,5*('Risikomatrix NACH Maßnahme'!E$7-1)+'Risikomatrix NACH Maßnahme'!$B6)=0,"",COUNTIF(Risikoliste!$AG:$AG,5*('Risikomatrix NACH Maßnahme'!E$7-1)+'Risikomatrix NACH Maßnahme'!$B6))</f>
        <v/>
      </c>
      <c r="F6" s="47" t="str">
        <f>IF(COUNTIF(Risikoliste!$AG:$AG,5*('Risikomatrix NACH Maßnahme'!F$7-1)+'Risikomatrix NACH Maßnahme'!$B6)=0,"",COUNTIF(Risikoliste!$AG:$AG,5*('Risikomatrix NACH Maßnahme'!F$7-1)+'Risikomatrix NACH Maßnahme'!$B6))</f>
        <v/>
      </c>
      <c r="G6" s="48" t="str">
        <f>IF(COUNTIF(Risikoliste!$AG:$AG,5*('Risikomatrix NACH Maßnahme'!G$7-1)+'Risikomatrix NACH Maßnahme'!$B6)=0,"",COUNTIF(Risikoliste!$AG:$AG,5*('Risikomatrix NACH Maßnahme'!G$7-1)+'Risikomatrix NACH Maßnahme'!$B6))</f>
        <v/>
      </c>
      <c r="H6" s="33"/>
      <c r="I6" s="51" t="str">
        <f>"Anzahl
Klasse C: " &amp; SUM(C3:C6,D4:D6,E5:E6,F6)</f>
        <v>Anzahl
Klasse C: 0</v>
      </c>
    </row>
    <row r="7" spans="1:9" hidden="1" x14ac:dyDescent="0.25">
      <c r="A7" s="33"/>
      <c r="B7" s="32"/>
      <c r="C7" s="32">
        <v>1</v>
      </c>
      <c r="D7" s="32">
        <v>2</v>
      </c>
      <c r="E7" s="32">
        <v>3</v>
      </c>
      <c r="F7" s="32">
        <v>4</v>
      </c>
      <c r="G7" s="32">
        <v>5</v>
      </c>
      <c r="H7" s="33"/>
      <c r="I7" s="33"/>
    </row>
    <row r="8" spans="1:9" ht="37.5" customHeight="1" x14ac:dyDescent="0.25">
      <c r="A8" s="33"/>
      <c r="B8" s="32"/>
      <c r="C8" s="34">
        <v>0.1</v>
      </c>
      <c r="D8" s="34">
        <v>0.3</v>
      </c>
      <c r="E8" s="34">
        <v>0.5</v>
      </c>
      <c r="F8" s="34">
        <v>0.7</v>
      </c>
      <c r="G8" s="34">
        <v>0.9</v>
      </c>
      <c r="H8" s="33"/>
      <c r="I8" s="33"/>
    </row>
    <row r="9" spans="1:9" ht="15.75" x14ac:dyDescent="0.25">
      <c r="A9" s="33"/>
      <c r="B9" s="33"/>
      <c r="C9" s="114" t="s">
        <v>57</v>
      </c>
      <c r="D9" s="114"/>
      <c r="E9" s="114"/>
      <c r="F9" s="114"/>
      <c r="G9" s="114"/>
      <c r="H9" s="33"/>
      <c r="I9" s="33"/>
    </row>
    <row r="10" spans="1:9" x14ac:dyDescent="0.25"/>
    <row r="11" spans="1:9" x14ac:dyDescent="0.25">
      <c r="A11" s="35" t="s">
        <v>149</v>
      </c>
    </row>
    <row r="12" spans="1:9" x14ac:dyDescent="0.25">
      <c r="A12" s="31" t="s">
        <v>150</v>
      </c>
    </row>
    <row r="13" spans="1:9" x14ac:dyDescent="0.25">
      <c r="A13" s="31" t="s">
        <v>151</v>
      </c>
    </row>
    <row r="14" spans="1:9" x14ac:dyDescent="0.25">
      <c r="A14" s="31" t="s">
        <v>152</v>
      </c>
    </row>
    <row r="15" spans="1:9" x14ac:dyDescent="0.25">
      <c r="A15" s="31" t="s">
        <v>153</v>
      </c>
    </row>
    <row r="16" spans="1:9" x14ac:dyDescent="0.25">
      <c r="A16" s="31" t="s">
        <v>154</v>
      </c>
    </row>
    <row r="17" spans="1:1" x14ac:dyDescent="0.25"/>
    <row r="18" spans="1:1" x14ac:dyDescent="0.25">
      <c r="A18" s="35" t="s">
        <v>155</v>
      </c>
    </row>
    <row r="19" spans="1:1" x14ac:dyDescent="0.25">
      <c r="A19" s="31" t="s">
        <v>156</v>
      </c>
    </row>
    <row r="20" spans="1:1" x14ac:dyDescent="0.25">
      <c r="A20" s="31" t="s">
        <v>157</v>
      </c>
    </row>
    <row r="21" spans="1:1" x14ac:dyDescent="0.25">
      <c r="A21" s="31" t="s">
        <v>158</v>
      </c>
    </row>
    <row r="22" spans="1:1" x14ac:dyDescent="0.25">
      <c r="A22" s="31" t="s">
        <v>159</v>
      </c>
    </row>
    <row r="23" spans="1:1" x14ac:dyDescent="0.25">
      <c r="A23" s="31" t="s">
        <v>160</v>
      </c>
    </row>
    <row r="24" spans="1:1" x14ac:dyDescent="0.25"/>
    <row r="25" spans="1:1" x14ac:dyDescent="0.25"/>
    <row r="26" spans="1:1" x14ac:dyDescent="0.25"/>
    <row r="27" spans="1:1" x14ac:dyDescent="0.25"/>
    <row r="28" spans="1:1" x14ac:dyDescent="0.25"/>
    <row r="29" spans="1:1" x14ac:dyDescent="0.25"/>
    <row r="30" spans="1:1" x14ac:dyDescent="0.2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31"/>
  <sheetViews>
    <sheetView showGridLines="0" topLeftCell="A6" zoomScaleNormal="100" workbookViewId="0">
      <selection activeCell="F13" sqref="F13"/>
    </sheetView>
  </sheetViews>
  <sheetFormatPr baseColWidth="10" defaultColWidth="0" defaultRowHeight="15" zeroHeight="1" x14ac:dyDescent="0.2"/>
  <cols>
    <col min="1" max="1" width="3.28515625" style="1" customWidth="1"/>
    <col min="2" max="2" width="5.42578125" style="1" customWidth="1"/>
    <col min="3" max="8" width="19.42578125" style="1" customWidth="1"/>
    <col min="9" max="9" width="3.28515625" style="1" customWidth="1"/>
    <col min="10" max="16384" width="24.7109375" style="1" hidden="1"/>
  </cols>
  <sheetData>
    <row r="1" spans="2:8" ht="21.75" customHeight="1" x14ac:dyDescent="0.2">
      <c r="B1" s="117" t="s">
        <v>161</v>
      </c>
      <c r="C1" s="117"/>
      <c r="D1" s="117"/>
      <c r="E1" s="117"/>
      <c r="F1" s="117"/>
      <c r="G1" s="117"/>
      <c r="H1" s="117"/>
    </row>
    <row r="2" spans="2:8" x14ac:dyDescent="0.2"/>
    <row r="3" spans="2:8" x14ac:dyDescent="0.2">
      <c r="B3" s="118" t="s">
        <v>162</v>
      </c>
      <c r="C3" s="118"/>
      <c r="D3" s="118"/>
      <c r="E3" s="118"/>
      <c r="F3" s="118"/>
      <c r="G3" s="118"/>
      <c r="H3" s="118"/>
    </row>
    <row r="4" spans="2:8" ht="60" customHeight="1" x14ac:dyDescent="0.2">
      <c r="B4" s="26" t="s">
        <v>4</v>
      </c>
      <c r="C4" s="91" t="s">
        <v>163</v>
      </c>
      <c r="D4" s="95"/>
      <c r="E4" s="95"/>
      <c r="F4" s="95"/>
      <c r="G4" s="95"/>
      <c r="H4" s="95"/>
    </row>
    <row r="5" spans="2:8" ht="109.5" customHeight="1" x14ac:dyDescent="0.2">
      <c r="B5" s="26" t="s">
        <v>4</v>
      </c>
      <c r="C5" s="91" t="s">
        <v>164</v>
      </c>
      <c r="D5" s="91"/>
      <c r="E5" s="91"/>
      <c r="F5" s="91"/>
      <c r="G5" s="91"/>
      <c r="H5" s="91"/>
    </row>
    <row r="6" spans="2:8" ht="48" customHeight="1" x14ac:dyDescent="0.2">
      <c r="B6" s="26" t="s">
        <v>4</v>
      </c>
      <c r="C6" s="115" t="s">
        <v>165</v>
      </c>
      <c r="D6" s="116"/>
      <c r="E6" s="116"/>
      <c r="F6" s="116"/>
      <c r="G6" s="116"/>
      <c r="H6" s="116"/>
    </row>
    <row r="7" spans="2:8" ht="110.25" customHeight="1" x14ac:dyDescent="0.2">
      <c r="B7" s="26" t="s">
        <v>4</v>
      </c>
      <c r="C7" s="91" t="s">
        <v>166</v>
      </c>
      <c r="D7" s="91"/>
      <c r="E7" s="91"/>
      <c r="F7" s="91"/>
      <c r="G7" s="91"/>
      <c r="H7" s="91"/>
    </row>
    <row r="8" spans="2:8" x14ac:dyDescent="0.2"/>
    <row r="9" spans="2:8" x14ac:dyDescent="0.25">
      <c r="C9" s="27" t="s">
        <v>167</v>
      </c>
      <c r="D9" s="27" t="s">
        <v>60</v>
      </c>
      <c r="E9" s="27" t="s">
        <v>168</v>
      </c>
      <c r="F9" s="27" t="s">
        <v>31</v>
      </c>
      <c r="G9" s="27" t="s">
        <v>50</v>
      </c>
      <c r="H9" s="52"/>
    </row>
    <row r="10" spans="2:8" x14ac:dyDescent="0.25">
      <c r="C10" s="28">
        <v>0.1</v>
      </c>
      <c r="D10" s="29">
        <v>1</v>
      </c>
      <c r="E10" s="29" t="s">
        <v>169</v>
      </c>
      <c r="F10" s="29" t="s">
        <v>178</v>
      </c>
      <c r="G10" s="29" t="s">
        <v>147</v>
      </c>
    </row>
    <row r="11" spans="2:8" x14ac:dyDescent="0.25">
      <c r="C11" s="28">
        <v>0.3</v>
      </c>
      <c r="D11" s="29">
        <v>2</v>
      </c>
      <c r="E11" s="29" t="s">
        <v>170</v>
      </c>
      <c r="F11" s="29" t="s">
        <v>171</v>
      </c>
      <c r="G11" s="29" t="s">
        <v>172</v>
      </c>
    </row>
    <row r="12" spans="2:8" x14ac:dyDescent="0.25">
      <c r="C12" s="28">
        <v>0.5</v>
      </c>
      <c r="D12" s="29">
        <v>3</v>
      </c>
      <c r="E12" s="29"/>
      <c r="F12" s="29" t="s">
        <v>173</v>
      </c>
      <c r="G12" s="29" t="s">
        <v>174</v>
      </c>
    </row>
    <row r="13" spans="2:8" x14ac:dyDescent="0.25">
      <c r="C13" s="28">
        <v>0.7</v>
      </c>
      <c r="D13" s="29">
        <v>4</v>
      </c>
      <c r="E13" s="29"/>
      <c r="F13" s="29" t="s">
        <v>146</v>
      </c>
      <c r="G13" s="29" t="s">
        <v>175</v>
      </c>
    </row>
    <row r="14" spans="2:8" x14ac:dyDescent="0.25">
      <c r="C14" s="28">
        <v>0.9</v>
      </c>
      <c r="D14" s="29">
        <v>5</v>
      </c>
      <c r="E14" s="29"/>
      <c r="F14" s="29" t="s">
        <v>176</v>
      </c>
      <c r="G14" s="16"/>
    </row>
    <row r="15" spans="2:8" x14ac:dyDescent="0.25">
      <c r="B15" s="29"/>
      <c r="C15" s="29"/>
      <c r="D15" s="29"/>
      <c r="E15" s="16"/>
      <c r="F15" s="29" t="s">
        <v>177</v>
      </c>
    </row>
    <row r="16" spans="2:8" x14ac:dyDescent="0.25">
      <c r="B16" s="29"/>
      <c r="C16" s="29"/>
      <c r="D16" s="29"/>
      <c r="E16" s="29"/>
      <c r="F16" s="16"/>
    </row>
    <row r="17" spans="2:6" x14ac:dyDescent="0.25">
      <c r="B17" s="29"/>
      <c r="C17" s="29"/>
      <c r="D17" s="29"/>
      <c r="E17" s="29"/>
      <c r="F17" s="16"/>
    </row>
    <row r="18" spans="2:6" x14ac:dyDescent="0.25">
      <c r="B18" s="29"/>
      <c r="C18" s="29"/>
      <c r="D18" s="29"/>
      <c r="E18" s="29"/>
      <c r="F18" s="16"/>
    </row>
    <row r="19" spans="2:6" x14ac:dyDescent="0.25">
      <c r="B19" s="29"/>
      <c r="C19" s="29"/>
      <c r="D19" s="29"/>
      <c r="E19" s="29"/>
      <c r="F19" s="16"/>
    </row>
    <row r="20" spans="2:6" x14ac:dyDescent="0.25">
      <c r="C20" s="16"/>
      <c r="D20" s="16"/>
      <c r="E20" s="16"/>
      <c r="F20" s="16"/>
    </row>
    <row r="21" spans="2:6" x14ac:dyDescent="0.25">
      <c r="B21" s="16"/>
      <c r="C21" s="16"/>
      <c r="D21" s="16"/>
      <c r="E21" s="16"/>
      <c r="F21" s="16"/>
    </row>
    <row r="22" spans="2:6" x14ac:dyDescent="0.25">
      <c r="B22" s="16"/>
      <c r="C22" s="16"/>
      <c r="D22" s="16"/>
      <c r="E22" s="16"/>
      <c r="F22" s="16"/>
    </row>
    <row r="23" spans="2:6" x14ac:dyDescent="0.25">
      <c r="B23" s="16"/>
      <c r="C23" s="16"/>
      <c r="D23" s="16"/>
      <c r="E23" s="16"/>
      <c r="F23" s="16"/>
    </row>
    <row r="24" spans="2:6" x14ac:dyDescent="0.25">
      <c r="B24" s="16"/>
      <c r="C24" s="16"/>
      <c r="D24" s="16"/>
      <c r="E24" s="16"/>
      <c r="F24" s="16"/>
    </row>
    <row r="25" spans="2:6" x14ac:dyDescent="0.25">
      <c r="B25" s="16"/>
      <c r="C25" s="16"/>
      <c r="D25" s="16"/>
      <c r="E25" s="16"/>
      <c r="F25" s="16"/>
    </row>
    <row r="26" spans="2:6" x14ac:dyDescent="0.25">
      <c r="B26" s="16"/>
      <c r="C26" s="16"/>
      <c r="D26" s="16"/>
      <c r="E26" s="16"/>
      <c r="F26" s="16"/>
    </row>
    <row r="27" spans="2:6" x14ac:dyDescent="0.25">
      <c r="B27" s="16"/>
      <c r="C27" s="16"/>
      <c r="D27" s="16"/>
      <c r="E27" s="16"/>
      <c r="F27" s="16"/>
    </row>
    <row r="28" spans="2:6" x14ac:dyDescent="0.25">
      <c r="B28" s="16"/>
      <c r="C28" s="16"/>
      <c r="D28" s="16"/>
      <c r="E28" s="16"/>
      <c r="F28" s="16"/>
    </row>
    <row r="29" spans="2:6" x14ac:dyDescent="0.25">
      <c r="B29" s="16"/>
      <c r="C29" s="16"/>
      <c r="D29" s="16"/>
      <c r="E29" s="16"/>
      <c r="F29" s="16"/>
    </row>
    <row r="30" spans="2:6" x14ac:dyDescent="0.25">
      <c r="B30" s="16"/>
      <c r="C30" s="16"/>
      <c r="D30" s="16"/>
      <c r="E30" s="16"/>
      <c r="F30" s="16"/>
    </row>
    <row r="31" spans="2:6" hidden="1" x14ac:dyDescent="0.25">
      <c r="B31" s="16"/>
      <c r="C31" s="16"/>
      <c r="D31" s="16"/>
      <c r="E31" s="16"/>
      <c r="F31" s="16"/>
    </row>
  </sheetData>
  <mergeCells count="6">
    <mergeCell ref="C5:H5"/>
    <mergeCell ref="C6:H6"/>
    <mergeCell ref="C4:H4"/>
    <mergeCell ref="B1:H1"/>
    <mergeCell ref="C7:H7"/>
    <mergeCell ref="B3:H3"/>
  </mergeCells>
  <phoneticPr fontId="1" type="noConversion"/>
  <dataValidations count="2">
    <dataValidation type="list" allowBlank="1" showInputMessage="1" showErrorMessage="1" sqref="K7" xr:uid="{00000000-0002-0000-0500-000000000000}">
      <formula1>"Status"</formula1>
    </dataValidation>
    <dataValidation type="list" allowBlank="1" showInputMessage="1" showErrorMessage="1" sqref="J7" xr:uid="{00000000-0002-0000-0500-000001000000}">
      <formula1>Status</formula1>
    </dataValidation>
  </dataValidations>
  <pageMargins left="0.70866141732283472" right="0.70866141732283472" top="0.74803149606299213" bottom="1.1811023622047245" header="0.19685039370078741" footer="0.19685039370078741"/>
  <pageSetup paperSize="9" scale="91" orientation="landscape" r:id="rId1"/>
  <headerFooter alignWithMargins="0">
    <oddHeader xml:space="preserve">&amp;R
</oddHeader>
    <oddFooter xml:space="preserve">&amp;L&amp;G&amp;R&amp;"-,Fett"&amp;8Bundesverwaltungsamt&amp;"-,Standard" – Der zentrale Dienstleister des Bundes | &amp;D | Seite &amp;P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42EBED17F8AE0D479F3EA70DF4D2ACEA" ma:contentTypeVersion="10" ma:contentTypeDescription="Ein neues Dokument erstellen." ma:contentTypeScope="" ma:versionID="b6512f044f42681331e35f6158c21a5e">
  <xsd:schema xmlns:xsd="http://www.w3.org/2001/XMLSchema" xmlns:xs="http://www.w3.org/2001/XMLSchema" xmlns:p="http://schemas.microsoft.com/office/2006/metadata/properties" xmlns:ns2="d9df0cc4-e472-4541-b722-a3058d00a906" xmlns:ns3="003732e3-9c8f-4052-a63e-8504520edfa2" targetNamespace="http://schemas.microsoft.com/office/2006/metadata/properties" ma:root="true" ma:fieldsID="af99bf9445ea228b86cc2edb4a066a3e" ns2:_="" ns3:_="">
    <xsd:import namespace="d9df0cc4-e472-4541-b722-a3058d00a906"/>
    <xsd:import namespace="003732e3-9c8f-4052-a63e-8504520edfa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df0cc4-e472-4541-b722-a3058d00a9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ildmarkierungen" ma:readOnly="false" ma:fieldId="{5cf76f15-5ced-4ddc-b409-7134ff3c332f}" ma:taxonomyMulti="true" ma:sspId="8d707317-08a4-4a99-9493-f18ee9983d4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3732e3-9c8f-4052-a63e-8504520edfa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ac3cde1-8340-4984-a4a0-078e50be6244}" ma:internalName="TaxCatchAll" ma:showField="CatchAllData" ma:web="003732e3-9c8f-4052-a63e-8504520edfa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9df0cc4-e472-4541-b722-a3058d00a906">
      <Terms xmlns="http://schemas.microsoft.com/office/infopath/2007/PartnerControls"/>
    </lcf76f155ced4ddcb4097134ff3c332f>
    <TaxCatchAll xmlns="003732e3-9c8f-4052-a63e-8504520edfa2" xsi:nil="true"/>
  </documentManagement>
</p:properties>
</file>

<file path=customXml/itemProps1.xml><?xml version="1.0" encoding="utf-8"?>
<ds:datastoreItem xmlns:ds="http://schemas.openxmlformats.org/officeDocument/2006/customXml" ds:itemID="{FA1FF7E0-FA05-42C6-92DE-67F2486E5704}">
  <ds:schemaRefs>
    <ds:schemaRef ds:uri="http://schemas.microsoft.com/sharepoint/v3/contenttype/forms"/>
  </ds:schemaRefs>
</ds:datastoreItem>
</file>

<file path=customXml/itemProps2.xml><?xml version="1.0" encoding="utf-8"?>
<ds:datastoreItem xmlns:ds="http://schemas.openxmlformats.org/officeDocument/2006/customXml" ds:itemID="{527E74E8-6D09-4245-8365-D7DEA6B6C0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df0cc4-e472-4541-b722-a3058d00a906"/>
    <ds:schemaRef ds:uri="003732e3-9c8f-4052-a63e-8504520edf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6651A2-DAA5-477C-9929-0FFAFDB7C009}">
  <ds:schemaRefs>
    <ds:schemaRef ds:uri="1806e302-84b4-422a-b779-17fb4a3b5c80"/>
    <ds:schemaRef ds:uri="http://schemas.microsoft.com/office/2006/documentManagement/types"/>
    <ds:schemaRef ds:uri="http://purl.org/dc/dcmitype/"/>
    <ds:schemaRef ds:uri="adec3d22-37a1-4fa0-bb8e-a6d2c164c1d1"/>
    <ds:schemaRef ds:uri="http://schemas.microsoft.com/office/2006/metadata/properties"/>
    <ds:schemaRef ds:uri="http://www.w3.org/XML/1998/namespace"/>
    <ds:schemaRef ds:uri="http://purl.org/dc/elements/1.1/"/>
    <ds:schemaRef ds:uri="http://schemas.microsoft.com/office/infopath/2007/PartnerControls"/>
    <ds:schemaRef ds:uri="http://schemas.openxmlformats.org/package/2006/metadata/core-properties"/>
    <ds:schemaRef ds:uri="http://purl.org/dc/terms/"/>
    <ds:schemaRef ds:uri="d9df0cc4-e472-4541-b722-a3058d00a906"/>
    <ds:schemaRef ds:uri="003732e3-9c8f-4052-a63e-8504520edfa2"/>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12</vt:i4>
      </vt:variant>
    </vt:vector>
  </HeadingPairs>
  <TitlesOfParts>
    <vt:vector size="18" baseType="lpstr">
      <vt:lpstr>Deckblatt</vt:lpstr>
      <vt:lpstr>Hinweise</vt:lpstr>
      <vt:lpstr>Risikoliste</vt:lpstr>
      <vt:lpstr>Risikomatrix VOR Maßnahme</vt:lpstr>
      <vt:lpstr>Risikomatrix NACH Maßnahme</vt:lpstr>
      <vt:lpstr>(Stammdaten)</vt:lpstr>
      <vt:lpstr>Abnahmestatus</vt:lpstr>
      <vt:lpstr>Auswirkung</vt:lpstr>
      <vt:lpstr>'(Stammdaten)'!Druckbereich</vt:lpstr>
      <vt:lpstr>Deckblatt!Druckbereich</vt:lpstr>
      <vt:lpstr>janein</vt:lpstr>
      <vt:lpstr>Risikostatus</vt:lpstr>
      <vt:lpstr>Status</vt:lpstr>
      <vt:lpstr>Teilprojekt</vt:lpstr>
      <vt:lpstr>Thema</vt:lpstr>
      <vt:lpstr>Verpflichtung</vt:lpstr>
      <vt:lpstr>Vertragsstatus</vt:lpstr>
      <vt:lpstr>Wahrscheinlichkeit</vt:lpstr>
    </vt:vector>
  </TitlesOfParts>
  <Manager/>
  <Company>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CC (Groß-)PM</dc:creator>
  <cp:keywords/>
  <dc:description/>
  <cp:lastModifiedBy>Nevio Matteo Gallo</cp:lastModifiedBy>
  <cp:revision/>
  <dcterms:created xsi:type="dcterms:W3CDTF">2009-09-09T09:05:31Z</dcterms:created>
  <dcterms:modified xsi:type="dcterms:W3CDTF">2026-01-15T06:55:27Z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7819&quot;&gt;&lt;version val=&quot;17875&quot;/&gt;&lt;CXlWorkbook id=&quot;1&quot;&gt;&lt;m_cxllink/&gt;&lt;/CXlWorkbook&gt;&lt;/root&gt;">
    <vt:bool>false</vt:bool>
  </property>
  <property fmtid="{D5CDD505-2E9C-101B-9397-08002B2CF9AE}" pid="3" name="ContentTypeId">
    <vt:lpwstr>0x01010042EBED17F8AE0D479F3EA70DF4D2ACEA</vt:lpwstr>
  </property>
  <property fmtid="{D5CDD505-2E9C-101B-9397-08002B2CF9AE}" pid="4" name="MediaServiceImageTags">
    <vt:lpwstr/>
  </property>
</Properties>
</file>